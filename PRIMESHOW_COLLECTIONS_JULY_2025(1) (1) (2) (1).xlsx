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525239684033c6/Desktop/"/>
    </mc:Choice>
  </mc:AlternateContent>
  <xr:revisionPtr revIDLastSave="104" documentId="8_{7B621439-2965-4042-B168-1F0B86EA8BAA}" xr6:coauthVersionLast="47" xr6:coauthVersionMax="47" xr10:uidLastSave="{C5879E3B-03EF-450D-AD69-570AC56C63B6}"/>
  <bookViews>
    <workbookView xWindow="-108" yWindow="-108" windowWidth="23256" windowHeight="12456" xr2:uid="{00000000-000D-0000-FFFF-FFFF00000000}"/>
  </bookViews>
  <sheets>
    <sheet name="06.07.25" sheetId="6" r:id="rId1"/>
    <sheet name="05.07.25" sheetId="5" r:id="rId2"/>
    <sheet name="04.07.25" sheetId="4" r:id="rId3"/>
    <sheet name="03.07.25" sheetId="3" r:id="rId4"/>
    <sheet name="02.07.25" sheetId="2" r:id="rId5"/>
    <sheet name="01.07.25" sheetId="1" r:id="rId6"/>
  </sheets>
  <definedNames>
    <definedName name="_xlnm._FilterDatabase" localSheetId="5" hidden="1">'01.07.25'!$A$4:$Z$36</definedName>
    <definedName name="_xlnm._FilterDatabase" localSheetId="4" hidden="1">'02.07.25'!$A$4:$T$36</definedName>
    <definedName name="_xlnm._FilterDatabase" localSheetId="3" hidden="1">'03.07.25'!$A$4:$V$36</definedName>
    <definedName name="_xlnm._FilterDatabase" localSheetId="2" hidden="1">'04.07.25'!$A$4:$V$36</definedName>
    <definedName name="_xlnm._FilterDatabase" localSheetId="1" hidden="1">'05.07.25'!$A$4:$V$36</definedName>
    <definedName name="_xlnm._FilterDatabase" localSheetId="0" hidden="1">'06.07.25'!$A$4:$V$36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6" i="6" l="1"/>
  <c r="T36" i="6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5" i="5"/>
  <c r="U36" i="5"/>
  <c r="T36" i="5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5" i="4"/>
  <c r="U36" i="4"/>
  <c r="T36" i="4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5" i="3"/>
  <c r="U36" i="1"/>
  <c r="P36" i="6"/>
  <c r="O36" i="6"/>
  <c r="N36" i="6"/>
  <c r="M36" i="6"/>
  <c r="L36" i="6"/>
  <c r="K36" i="6"/>
  <c r="J36" i="6"/>
  <c r="I36" i="6"/>
  <c r="S35" i="6"/>
  <c r="Q35" i="6"/>
  <c r="R35" i="6" s="1"/>
  <c r="S34" i="6"/>
  <c r="Q34" i="6"/>
  <c r="R34" i="6" s="1"/>
  <c r="S33" i="6"/>
  <c r="Q33" i="6"/>
  <c r="R33" i="6" s="1"/>
  <c r="S32" i="6"/>
  <c r="Q32" i="6"/>
  <c r="R32" i="6" s="1"/>
  <c r="S31" i="6"/>
  <c r="Q31" i="6"/>
  <c r="R31" i="6" s="1"/>
  <c r="S30" i="6"/>
  <c r="Q30" i="6"/>
  <c r="R30" i="6" s="1"/>
  <c r="S29" i="6"/>
  <c r="Q29" i="6"/>
  <c r="R29" i="6" s="1"/>
  <c r="S28" i="6"/>
  <c r="Q28" i="6"/>
  <c r="R28" i="6" s="1"/>
  <c r="S27" i="6"/>
  <c r="Q27" i="6"/>
  <c r="R27" i="6" s="1"/>
  <c r="S26" i="6"/>
  <c r="Q26" i="6"/>
  <c r="R26" i="6" s="1"/>
  <c r="S25" i="6"/>
  <c r="Q25" i="6"/>
  <c r="R25" i="6" s="1"/>
  <c r="S24" i="6"/>
  <c r="Q24" i="6"/>
  <c r="R24" i="6" s="1"/>
  <c r="S23" i="6"/>
  <c r="Q23" i="6"/>
  <c r="R23" i="6" s="1"/>
  <c r="S22" i="6"/>
  <c r="Q22" i="6"/>
  <c r="R22" i="6" s="1"/>
  <c r="S21" i="6"/>
  <c r="Q21" i="6"/>
  <c r="R21" i="6" s="1"/>
  <c r="S20" i="6"/>
  <c r="Q20" i="6"/>
  <c r="R20" i="6" s="1"/>
  <c r="S19" i="6"/>
  <c r="Q19" i="6"/>
  <c r="R19" i="6" s="1"/>
  <c r="S18" i="6"/>
  <c r="Q18" i="6"/>
  <c r="R18" i="6" s="1"/>
  <c r="S17" i="6"/>
  <c r="Q17" i="6"/>
  <c r="R17" i="6" s="1"/>
  <c r="S16" i="6"/>
  <c r="Q16" i="6"/>
  <c r="R16" i="6" s="1"/>
  <c r="S15" i="6"/>
  <c r="Q15" i="6"/>
  <c r="R15" i="6" s="1"/>
  <c r="S14" i="6"/>
  <c r="Q14" i="6"/>
  <c r="R14" i="6" s="1"/>
  <c r="S13" i="6"/>
  <c r="Q13" i="6"/>
  <c r="R13" i="6" s="1"/>
  <c r="S12" i="6"/>
  <c r="Q12" i="6"/>
  <c r="R12" i="6" s="1"/>
  <c r="S11" i="6"/>
  <c r="Q11" i="6"/>
  <c r="R11" i="6" s="1"/>
  <c r="S10" i="6"/>
  <c r="Q10" i="6"/>
  <c r="R10" i="6" s="1"/>
  <c r="S9" i="6"/>
  <c r="Q9" i="6"/>
  <c r="R9" i="6" s="1"/>
  <c r="S8" i="6"/>
  <c r="Q8" i="6"/>
  <c r="R8" i="6" s="1"/>
  <c r="S7" i="6"/>
  <c r="Q7" i="6"/>
  <c r="R7" i="6" s="1"/>
  <c r="S6" i="6"/>
  <c r="Q6" i="6"/>
  <c r="R6" i="6" s="1"/>
  <c r="S5" i="6"/>
  <c r="Q5" i="6"/>
  <c r="Q30" i="5"/>
  <c r="R30" i="5" s="1"/>
  <c r="Q19" i="5"/>
  <c r="R19" i="5" s="1"/>
  <c r="Q20" i="5"/>
  <c r="R20" i="5" s="1"/>
  <c r="P36" i="5"/>
  <c r="O36" i="5"/>
  <c r="N36" i="5"/>
  <c r="M36" i="5"/>
  <c r="L36" i="5"/>
  <c r="K36" i="5"/>
  <c r="J36" i="5"/>
  <c r="I36" i="5"/>
  <c r="S35" i="5"/>
  <c r="Q35" i="5"/>
  <c r="R35" i="5" s="1"/>
  <c r="S34" i="5"/>
  <c r="Q34" i="5"/>
  <c r="R34" i="5" s="1"/>
  <c r="S33" i="5"/>
  <c r="Q33" i="5"/>
  <c r="R33" i="5" s="1"/>
  <c r="S32" i="5"/>
  <c r="Q32" i="5"/>
  <c r="R32" i="5" s="1"/>
  <c r="S31" i="5"/>
  <c r="Q31" i="5"/>
  <c r="R31" i="5" s="1"/>
  <c r="S30" i="5"/>
  <c r="S29" i="5"/>
  <c r="Q29" i="5"/>
  <c r="R29" i="5" s="1"/>
  <c r="S28" i="5"/>
  <c r="Q28" i="5"/>
  <c r="R28" i="5" s="1"/>
  <c r="S27" i="5"/>
  <c r="Q27" i="5"/>
  <c r="R27" i="5" s="1"/>
  <c r="S26" i="5"/>
  <c r="Q26" i="5"/>
  <c r="R26" i="5" s="1"/>
  <c r="S25" i="5"/>
  <c r="Q25" i="5"/>
  <c r="R25" i="5" s="1"/>
  <c r="S24" i="5"/>
  <c r="Q24" i="5"/>
  <c r="R24" i="5" s="1"/>
  <c r="S23" i="5"/>
  <c r="Q23" i="5"/>
  <c r="R23" i="5" s="1"/>
  <c r="S22" i="5"/>
  <c r="Q22" i="5"/>
  <c r="R22" i="5" s="1"/>
  <c r="S21" i="5"/>
  <c r="Q21" i="5"/>
  <c r="R21" i="5" s="1"/>
  <c r="S20" i="5"/>
  <c r="S19" i="5"/>
  <c r="S18" i="5"/>
  <c r="Q18" i="5"/>
  <c r="R18" i="5" s="1"/>
  <c r="S17" i="5"/>
  <c r="Q17" i="5"/>
  <c r="R17" i="5" s="1"/>
  <c r="S16" i="5"/>
  <c r="Q16" i="5"/>
  <c r="R16" i="5" s="1"/>
  <c r="S15" i="5"/>
  <c r="Q15" i="5"/>
  <c r="R15" i="5" s="1"/>
  <c r="S14" i="5"/>
  <c r="Q14" i="5"/>
  <c r="R14" i="5" s="1"/>
  <c r="S13" i="5"/>
  <c r="Q13" i="5"/>
  <c r="R13" i="5" s="1"/>
  <c r="S12" i="5"/>
  <c r="Q12" i="5"/>
  <c r="R12" i="5" s="1"/>
  <c r="S11" i="5"/>
  <c r="Q11" i="5"/>
  <c r="R11" i="5" s="1"/>
  <c r="S10" i="5"/>
  <c r="Q10" i="5"/>
  <c r="R10" i="5" s="1"/>
  <c r="S9" i="5"/>
  <c r="Q9" i="5"/>
  <c r="R9" i="5" s="1"/>
  <c r="S8" i="5"/>
  <c r="Q8" i="5"/>
  <c r="R8" i="5" s="1"/>
  <c r="S7" i="5"/>
  <c r="Q7" i="5"/>
  <c r="R7" i="5" s="1"/>
  <c r="S6" i="5"/>
  <c r="Q6" i="5"/>
  <c r="R6" i="5" s="1"/>
  <c r="S5" i="5"/>
  <c r="Q5" i="5"/>
  <c r="R5" i="5" s="1"/>
  <c r="P36" i="4"/>
  <c r="O36" i="4"/>
  <c r="N36" i="4"/>
  <c r="M36" i="4"/>
  <c r="L36" i="4"/>
  <c r="K36" i="4"/>
  <c r="J36" i="4"/>
  <c r="I36" i="4"/>
  <c r="S35" i="4"/>
  <c r="Q35" i="4"/>
  <c r="R35" i="4" s="1"/>
  <c r="S34" i="4"/>
  <c r="Q34" i="4"/>
  <c r="R34" i="4" s="1"/>
  <c r="S33" i="4"/>
  <c r="Q33" i="4"/>
  <c r="R33" i="4" s="1"/>
  <c r="S32" i="4"/>
  <c r="Q32" i="4"/>
  <c r="R32" i="4" s="1"/>
  <c r="S31" i="4"/>
  <c r="Q31" i="4"/>
  <c r="R31" i="4" s="1"/>
  <c r="S30" i="4"/>
  <c r="Q30" i="4"/>
  <c r="R30" i="4" s="1"/>
  <c r="S29" i="4"/>
  <c r="Q29" i="4"/>
  <c r="R29" i="4" s="1"/>
  <c r="S28" i="4"/>
  <c r="Q28" i="4"/>
  <c r="R28" i="4" s="1"/>
  <c r="S27" i="4"/>
  <c r="Q27" i="4"/>
  <c r="R27" i="4" s="1"/>
  <c r="S26" i="4"/>
  <c r="Q26" i="4"/>
  <c r="R26" i="4" s="1"/>
  <c r="S25" i="4"/>
  <c r="Q25" i="4"/>
  <c r="R25" i="4" s="1"/>
  <c r="S24" i="4"/>
  <c r="Q24" i="4"/>
  <c r="R24" i="4" s="1"/>
  <c r="S23" i="4"/>
  <c r="Q23" i="4"/>
  <c r="R23" i="4" s="1"/>
  <c r="S22" i="4"/>
  <c r="Q22" i="4"/>
  <c r="R22" i="4" s="1"/>
  <c r="S21" i="4"/>
  <c r="Q21" i="4"/>
  <c r="R21" i="4" s="1"/>
  <c r="S20" i="4"/>
  <c r="Q20" i="4"/>
  <c r="R20" i="4" s="1"/>
  <c r="S19" i="4"/>
  <c r="Q19" i="4"/>
  <c r="R19" i="4" s="1"/>
  <c r="S18" i="4"/>
  <c r="Q18" i="4"/>
  <c r="R18" i="4" s="1"/>
  <c r="S17" i="4"/>
  <c r="Q17" i="4"/>
  <c r="R17" i="4" s="1"/>
  <c r="S16" i="4"/>
  <c r="Q16" i="4"/>
  <c r="R16" i="4" s="1"/>
  <c r="S15" i="4"/>
  <c r="Q15" i="4"/>
  <c r="R15" i="4" s="1"/>
  <c r="S14" i="4"/>
  <c r="Q14" i="4"/>
  <c r="R14" i="4" s="1"/>
  <c r="S13" i="4"/>
  <c r="Q13" i="4"/>
  <c r="R13" i="4" s="1"/>
  <c r="S12" i="4"/>
  <c r="Q12" i="4"/>
  <c r="R12" i="4" s="1"/>
  <c r="S11" i="4"/>
  <c r="Q11" i="4"/>
  <c r="R11" i="4" s="1"/>
  <c r="S10" i="4"/>
  <c r="Q10" i="4"/>
  <c r="R10" i="4" s="1"/>
  <c r="S9" i="4"/>
  <c r="Q9" i="4"/>
  <c r="R9" i="4" s="1"/>
  <c r="S8" i="4"/>
  <c r="Q8" i="4"/>
  <c r="R8" i="4" s="1"/>
  <c r="S7" i="4"/>
  <c r="Q7" i="4"/>
  <c r="R7" i="4" s="1"/>
  <c r="S6" i="4"/>
  <c r="Q6" i="4"/>
  <c r="R6" i="4" s="1"/>
  <c r="S5" i="4"/>
  <c r="Q5" i="4"/>
  <c r="Q36" i="6" l="1"/>
  <c r="S36" i="6"/>
  <c r="R5" i="6"/>
  <c r="R36" i="6" s="1"/>
  <c r="S36" i="5"/>
  <c r="Q36" i="5"/>
  <c r="R36" i="5"/>
  <c r="Q36" i="4"/>
  <c r="S36" i="4"/>
  <c r="R5" i="4"/>
  <c r="R36" i="4" s="1"/>
  <c r="U36" i="3"/>
  <c r="T36" i="3"/>
  <c r="U36" i="2"/>
  <c r="T36" i="2"/>
  <c r="P36" i="3"/>
  <c r="O36" i="3"/>
  <c r="N36" i="3"/>
  <c r="M36" i="3"/>
  <c r="L36" i="3"/>
  <c r="K36" i="3"/>
  <c r="J36" i="3"/>
  <c r="I36" i="3"/>
  <c r="S35" i="3"/>
  <c r="Q35" i="3"/>
  <c r="R35" i="3" s="1"/>
  <c r="S34" i="3"/>
  <c r="Q34" i="3"/>
  <c r="R34" i="3" s="1"/>
  <c r="S33" i="3"/>
  <c r="Q33" i="3"/>
  <c r="R33" i="3" s="1"/>
  <c r="S32" i="3"/>
  <c r="Q32" i="3"/>
  <c r="R32" i="3" s="1"/>
  <c r="S31" i="3"/>
  <c r="Q31" i="3"/>
  <c r="R31" i="3" s="1"/>
  <c r="S30" i="3"/>
  <c r="Q30" i="3"/>
  <c r="R30" i="3" s="1"/>
  <c r="S29" i="3"/>
  <c r="Q29" i="3"/>
  <c r="R29" i="3" s="1"/>
  <c r="S28" i="3"/>
  <c r="Q28" i="3"/>
  <c r="R28" i="3" s="1"/>
  <c r="S27" i="3"/>
  <c r="Q27" i="3"/>
  <c r="R27" i="3" s="1"/>
  <c r="S26" i="3"/>
  <c r="Q26" i="3"/>
  <c r="R26" i="3" s="1"/>
  <c r="S25" i="3"/>
  <c r="Q25" i="3"/>
  <c r="R25" i="3" s="1"/>
  <c r="S24" i="3"/>
  <c r="Q24" i="3"/>
  <c r="R24" i="3" s="1"/>
  <c r="S23" i="3"/>
  <c r="Q23" i="3"/>
  <c r="R23" i="3" s="1"/>
  <c r="S22" i="3"/>
  <c r="Q22" i="3"/>
  <c r="R22" i="3" s="1"/>
  <c r="S21" i="3"/>
  <c r="Q21" i="3"/>
  <c r="R21" i="3" s="1"/>
  <c r="S20" i="3"/>
  <c r="Q20" i="3"/>
  <c r="R20" i="3" s="1"/>
  <c r="S19" i="3"/>
  <c r="Q19" i="3"/>
  <c r="R19" i="3" s="1"/>
  <c r="S18" i="3"/>
  <c r="Q18" i="3"/>
  <c r="R18" i="3" s="1"/>
  <c r="S17" i="3"/>
  <c r="Q17" i="3"/>
  <c r="R17" i="3" s="1"/>
  <c r="S16" i="3"/>
  <c r="Q16" i="3"/>
  <c r="R16" i="3" s="1"/>
  <c r="S15" i="3"/>
  <c r="Q15" i="3"/>
  <c r="R15" i="3" s="1"/>
  <c r="S14" i="3"/>
  <c r="Q14" i="3"/>
  <c r="R14" i="3" s="1"/>
  <c r="S13" i="3"/>
  <c r="Q13" i="3"/>
  <c r="R13" i="3" s="1"/>
  <c r="S12" i="3"/>
  <c r="Q12" i="3"/>
  <c r="R12" i="3" s="1"/>
  <c r="S11" i="3"/>
  <c r="Q11" i="3"/>
  <c r="R11" i="3" s="1"/>
  <c r="S10" i="3"/>
  <c r="Q10" i="3"/>
  <c r="R10" i="3" s="1"/>
  <c r="S9" i="3"/>
  <c r="Q9" i="3"/>
  <c r="R9" i="3" s="1"/>
  <c r="S8" i="3"/>
  <c r="Q8" i="3"/>
  <c r="R8" i="3" s="1"/>
  <c r="S7" i="3"/>
  <c r="Q7" i="3"/>
  <c r="R7" i="3" s="1"/>
  <c r="S6" i="3"/>
  <c r="Q6" i="3"/>
  <c r="R6" i="3" s="1"/>
  <c r="S5" i="3"/>
  <c r="Q5" i="3"/>
  <c r="R5" i="3" s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5" i="2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Q14" i="2"/>
  <c r="R14" i="2" s="1"/>
  <c r="Q15" i="2"/>
  <c r="R15" i="2" s="1"/>
  <c r="Q16" i="2"/>
  <c r="R16" i="2" s="1"/>
  <c r="Q17" i="2"/>
  <c r="R17" i="2" s="1"/>
  <c r="Q18" i="2"/>
  <c r="R18" i="2" s="1"/>
  <c r="Q19" i="2"/>
  <c r="R19" i="2" s="1"/>
  <c r="Q20" i="2"/>
  <c r="R20" i="2" s="1"/>
  <c r="Q21" i="2"/>
  <c r="R21" i="2" s="1"/>
  <c r="Q22" i="2"/>
  <c r="R22" i="2" s="1"/>
  <c r="Q23" i="2"/>
  <c r="R23" i="2" s="1"/>
  <c r="Q24" i="2"/>
  <c r="R24" i="2" s="1"/>
  <c r="Q25" i="2"/>
  <c r="R25" i="2" s="1"/>
  <c r="Q26" i="2"/>
  <c r="R26" i="2" s="1"/>
  <c r="Q27" i="2"/>
  <c r="R27" i="2" s="1"/>
  <c r="Q28" i="2"/>
  <c r="R28" i="2" s="1"/>
  <c r="Q29" i="2"/>
  <c r="R29" i="2" s="1"/>
  <c r="Q30" i="2"/>
  <c r="R30" i="2" s="1"/>
  <c r="Q31" i="2"/>
  <c r="R31" i="2" s="1"/>
  <c r="Q32" i="2"/>
  <c r="R32" i="2" s="1"/>
  <c r="Q33" i="2"/>
  <c r="R33" i="2" s="1"/>
  <c r="Q34" i="2"/>
  <c r="R34" i="2" s="1"/>
  <c r="Q35" i="2"/>
  <c r="R35" i="2" s="1"/>
  <c r="Q5" i="2"/>
  <c r="R5" i="2" s="1"/>
  <c r="P36" i="2"/>
  <c r="O36" i="2"/>
  <c r="N36" i="2"/>
  <c r="M36" i="2"/>
  <c r="L36" i="2"/>
  <c r="K36" i="2"/>
  <c r="J36" i="2"/>
  <c r="I36" i="2"/>
  <c r="S32" i="1"/>
  <c r="Q33" i="1"/>
  <c r="R33" i="1" s="1"/>
  <c r="Q31" i="1"/>
  <c r="R31" i="1" s="1"/>
  <c r="Q32" i="1"/>
  <c r="R32" i="1" s="1"/>
  <c r="Q28" i="1"/>
  <c r="R28" i="1" s="1"/>
  <c r="Q22" i="1"/>
  <c r="R22" i="1" s="1"/>
  <c r="Q18" i="1"/>
  <c r="R18" i="1" s="1"/>
  <c r="S28" i="1"/>
  <c r="S22" i="1"/>
  <c r="S18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S16" i="1"/>
  <c r="Q16" i="1"/>
  <c r="R16" i="1" s="1"/>
  <c r="S33" i="1"/>
  <c r="S34" i="1"/>
  <c r="S31" i="1"/>
  <c r="S30" i="1"/>
  <c r="S29" i="1"/>
  <c r="S27" i="1"/>
  <c r="S26" i="1"/>
  <c r="S25" i="1"/>
  <c r="S24" i="1"/>
  <c r="S23" i="1"/>
  <c r="S21" i="1"/>
  <c r="S20" i="1"/>
  <c r="S19" i="1"/>
  <c r="S17" i="1"/>
  <c r="S15" i="1"/>
  <c r="S14" i="1"/>
  <c r="S13" i="1"/>
  <c r="S12" i="1"/>
  <c r="S11" i="1"/>
  <c r="S10" i="1"/>
  <c r="S9" i="1"/>
  <c r="S8" i="1"/>
  <c r="S7" i="1"/>
  <c r="S6" i="1"/>
  <c r="Q34" i="1"/>
  <c r="R34" i="1" s="1"/>
  <c r="Q30" i="1"/>
  <c r="R30" i="1" s="1"/>
  <c r="Q29" i="1"/>
  <c r="R29" i="1" s="1"/>
  <c r="Q27" i="1"/>
  <c r="R27" i="1" s="1"/>
  <c r="Q26" i="1"/>
  <c r="R26" i="1" s="1"/>
  <c r="Q25" i="1"/>
  <c r="R25" i="1" s="1"/>
  <c r="Q24" i="1"/>
  <c r="R24" i="1" s="1"/>
  <c r="Q23" i="1"/>
  <c r="R23" i="1" s="1"/>
  <c r="Q21" i="1"/>
  <c r="R21" i="1" s="1"/>
  <c r="Q20" i="1"/>
  <c r="R20" i="1" s="1"/>
  <c r="Q19" i="1"/>
  <c r="R19" i="1" s="1"/>
  <c r="Q17" i="1"/>
  <c r="R17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Q6" i="1"/>
  <c r="R6" i="1" s="1"/>
  <c r="S5" i="1"/>
  <c r="Q5" i="1"/>
  <c r="T36" i="1"/>
  <c r="P36" i="1"/>
  <c r="O36" i="1"/>
  <c r="N36" i="1"/>
  <c r="M36" i="1"/>
  <c r="L36" i="1"/>
  <c r="K36" i="1"/>
  <c r="J36" i="1"/>
  <c r="I36" i="1"/>
  <c r="S35" i="1"/>
  <c r="Q35" i="1"/>
  <c r="R35" i="1" s="1"/>
  <c r="V15" i="1"/>
  <c r="V14" i="1"/>
  <c r="V13" i="1"/>
  <c r="V12" i="1"/>
  <c r="V11" i="1"/>
  <c r="V10" i="1"/>
  <c r="V9" i="1"/>
  <c r="V8" i="1"/>
  <c r="V7" i="1"/>
  <c r="V6" i="1"/>
  <c r="V5" i="1"/>
  <c r="R5" i="1" l="1"/>
  <c r="S36" i="3"/>
  <c r="R36" i="3"/>
  <c r="Q36" i="3"/>
  <c r="Q36" i="2"/>
  <c r="S36" i="2"/>
  <c r="S36" i="1"/>
  <c r="V36" i="1"/>
  <c r="R36" i="1"/>
  <c r="Q36" i="1"/>
  <c r="R36" i="2" l="1"/>
</calcChain>
</file>

<file path=xl/sharedStrings.xml><?xml version="1.0" encoding="utf-8"?>
<sst xmlns="http://schemas.openxmlformats.org/spreadsheetml/2006/main" count="738" uniqueCount="95">
  <si>
    <t>PRIMESHOW FILMS DAILY COLLECTION REPORT</t>
  </si>
  <si>
    <t>FRIDAY</t>
  </si>
  <si>
    <t>04.07.2025</t>
  </si>
  <si>
    <t>MOR</t>
  </si>
  <si>
    <t>MAT</t>
  </si>
  <si>
    <t>1ST</t>
  </si>
  <si>
    <t>2ND</t>
  </si>
  <si>
    <t>TODAY</t>
  </si>
  <si>
    <t xml:space="preserve">TOTAL </t>
  </si>
  <si>
    <t>S,NO</t>
  </si>
  <si>
    <t>AREA</t>
  </si>
  <si>
    <t>THEATER NAME</t>
  </si>
  <si>
    <t>MOVIE</t>
  </si>
  <si>
    <t>Day</t>
  </si>
  <si>
    <t>SEATS</t>
  </si>
  <si>
    <t>H/F</t>
  </si>
  <si>
    <t>GROSS</t>
  </si>
  <si>
    <t>AUD</t>
  </si>
  <si>
    <t>NETT</t>
  </si>
  <si>
    <t>BHUVANAGIRI</t>
  </si>
  <si>
    <t>BADRADRI</t>
  </si>
  <si>
    <t>TAMMUDU</t>
  </si>
  <si>
    <t>CHEVELLA</t>
  </si>
  <si>
    <t>MANIKANTA 70MM</t>
  </si>
  <si>
    <t>IEEJA</t>
  </si>
  <si>
    <t>SRI MADHAV</t>
  </si>
  <si>
    <t>VIKARABAD</t>
  </si>
  <si>
    <t xml:space="preserve">CINEMAX </t>
  </si>
  <si>
    <t>3BHK</t>
  </si>
  <si>
    <t>SHANKARPALLY</t>
  </si>
  <si>
    <t>SAIBABA</t>
  </si>
  <si>
    <t>MAKTHAL</t>
  </si>
  <si>
    <t xml:space="preserve">VENKATARAMANA </t>
  </si>
  <si>
    <t>MARGAN</t>
  </si>
  <si>
    <t>THORROR</t>
  </si>
  <si>
    <t xml:space="preserve">ASWANI </t>
  </si>
  <si>
    <t>SHIVA SAI</t>
  </si>
  <si>
    <t>KANNAPPA</t>
  </si>
  <si>
    <t>KOSIGI</t>
  </si>
  <si>
    <t>LAXMI</t>
  </si>
  <si>
    <t>KOTHAKOTA</t>
  </si>
  <si>
    <t>SRIDEVI</t>
  </si>
  <si>
    <t>DEVARAKADRA</t>
  </si>
  <si>
    <t>RAGAVENDRA</t>
  </si>
  <si>
    <t>KOLLAPUR</t>
  </si>
  <si>
    <t>VENKATESWARA</t>
  </si>
  <si>
    <t>CHENNURU</t>
  </si>
  <si>
    <t xml:space="preserve">SRINIVASA </t>
  </si>
  <si>
    <t>THUKUGUDA</t>
  </si>
  <si>
    <t>SRIPREMA 70MM</t>
  </si>
  <si>
    <t>SURYAPETA</t>
  </si>
  <si>
    <t>ALANKAR</t>
  </si>
  <si>
    <t>KANNAPPA/3BHK</t>
  </si>
  <si>
    <t>JADCHARLA</t>
  </si>
  <si>
    <t>ARMOOR</t>
  </si>
  <si>
    <t xml:space="preserve">BRUNDHAVANAM </t>
  </si>
  <si>
    <t>PITLAM</t>
  </si>
  <si>
    <t xml:space="preserve">VENKATESHWARA </t>
  </si>
  <si>
    <t>DARPALLY</t>
  </si>
  <si>
    <t>MARRIPEDA</t>
  </si>
  <si>
    <t xml:space="preserve">SHANTHI </t>
  </si>
  <si>
    <t>VARADHANNAPET</t>
  </si>
  <si>
    <t>BHARATIYA</t>
  </si>
  <si>
    <t>NARAYANKHED</t>
  </si>
  <si>
    <t>ACHAMPETA</t>
  </si>
  <si>
    <t>SAI RAM</t>
  </si>
  <si>
    <t>HUZURNAGAR</t>
  </si>
  <si>
    <t>JURASIC WORLD</t>
  </si>
  <si>
    <t>PASARA</t>
  </si>
  <si>
    <t xml:space="preserve">MEHARRANGA </t>
  </si>
  <si>
    <t>PALAKURTHY</t>
  </si>
  <si>
    <t>THIRUMALA KALAMANDHIR</t>
  </si>
  <si>
    <t>WARANGAL</t>
  </si>
  <si>
    <t>RAM</t>
  </si>
  <si>
    <t>BHANSWADA</t>
  </si>
  <si>
    <t>THIRUMALGIRI</t>
  </si>
  <si>
    <t>MALLESWARI</t>
  </si>
  <si>
    <t>PARKALA</t>
  </si>
  <si>
    <t>KAKATIYA</t>
  </si>
  <si>
    <t>WARNGAL</t>
  </si>
  <si>
    <t>LAXMAN</t>
  </si>
  <si>
    <t>TOTAL</t>
  </si>
  <si>
    <t>THURSDAY</t>
  </si>
  <si>
    <t>03.07.2025</t>
  </si>
  <si>
    <t>KHUBERA</t>
  </si>
  <si>
    <t>SATYALAKSHMI</t>
  </si>
  <si>
    <t>CHANDRESWARA</t>
  </si>
  <si>
    <t>WEDNESDAY</t>
  </si>
  <si>
    <t>02.07.2025</t>
  </si>
  <si>
    <t>TUESDAY</t>
  </si>
  <si>
    <t>01.07.2025</t>
  </si>
  <si>
    <t>SUNDAY</t>
  </si>
  <si>
    <t>06.07.2025</t>
  </si>
  <si>
    <t>SATURDAY</t>
  </si>
  <si>
    <t>05.07.2025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</si>
</sst>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4"/>
      <name val="Open Sans"/>
    </font>
    <font>
      <sz val="11"/>
      <name val="Calibri"/>
    </font>
    <font>
      <sz val="12"/>
      <color theme="1"/>
      <name val="Calibri"/>
    </font>
    <font>
      <sz val="12"/>
      <color theme="1"/>
      <name val="Calibri"/>
      <family val="2"/>
    </font>
    <font>
      <b/>
      <sz val="12"/>
      <color theme="1"/>
      <name val="Calibri"/>
    </font>
    <font>
      <b/>
      <sz val="12"/>
      <color rgb="FF0070C0"/>
      <name val="Calibri"/>
    </font>
    <font>
      <b/>
      <sz val="12"/>
      <color rgb="FF0070C0"/>
      <name val="Calibri"/>
      <family val="2"/>
    </font>
    <font>
      <sz val="11"/>
      <name val="Calibri"/>
      <family val="2"/>
    </font>
    <font>
      <b/>
      <sz val="12"/>
      <color theme="5"/>
      <name val="Calibri"/>
    </font>
    <font>
      <b/>
      <sz val="10"/>
      <color theme="5"/>
      <name val="Calibri"/>
    </font>
    <font>
      <b/>
      <sz val="10"/>
      <color theme="5"/>
      <name val="Calibri"/>
      <family val="2"/>
    </font>
    <font>
      <b/>
      <sz val="11"/>
      <color rgb="FFED7D31"/>
      <name val="Calibri"/>
      <family val="2"/>
    </font>
    <font>
      <sz val="12"/>
      <color theme="1"/>
      <name val="Open Sans"/>
    </font>
    <font>
      <b/>
      <sz val="11"/>
      <color theme="1"/>
      <name val="Calibri"/>
    </font>
    <font>
      <b/>
      <sz val="10"/>
      <color theme="1"/>
      <name val="Open Sans"/>
    </font>
    <font>
      <b/>
      <sz val="12"/>
      <color theme="1"/>
      <name val="Open Sans"/>
    </font>
    <font>
      <b/>
      <sz val="10"/>
      <color theme="1"/>
      <name val="Teko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</font>
    <font>
      <b/>
      <sz val="12"/>
      <color theme="1"/>
      <name val="Teko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0" borderId="5" xfId="0" applyFont="1" applyBorder="1"/>
    <xf numFmtId="0" fontId="6" fillId="0" borderId="5" xfId="0" applyFont="1" applyBorder="1"/>
    <xf numFmtId="0" fontId="11" fillId="2" borderId="5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1" fontId="21" fillId="0" borderId="6" xfId="0" applyNumberFormat="1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1" fontId="20" fillId="0" borderId="6" xfId="0" applyNumberFormat="1" applyFont="1" applyBorder="1" applyAlignment="1">
      <alignment horizontal="center" vertical="center"/>
    </xf>
    <xf numFmtId="0" fontId="20" fillId="5" borderId="5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1" fontId="20" fillId="6" borderId="6" xfId="0" applyNumberFormat="1" applyFont="1" applyFill="1" applyBorder="1" applyAlignment="1">
      <alignment horizontal="center" vertical="center"/>
    </xf>
    <xf numFmtId="1" fontId="21" fillId="6" borderId="6" xfId="0" applyNumberFormat="1" applyFont="1" applyFill="1" applyBorder="1" applyAlignment="1">
      <alignment horizontal="center"/>
    </xf>
    <xf numFmtId="0" fontId="5" fillId="6" borderId="0" xfId="0" applyFont="1" applyFill="1"/>
    <xf numFmtId="1" fontId="5" fillId="6" borderId="0" xfId="0" applyNumberFormat="1" applyFont="1" applyFill="1"/>
    <xf numFmtId="0" fontId="0" fillId="6" borderId="0" xfId="0" applyFill="1"/>
    <xf numFmtId="0" fontId="20" fillId="6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 vertical="top"/>
    </xf>
    <xf numFmtId="1" fontId="20" fillId="9" borderId="6" xfId="0" applyNumberFormat="1" applyFont="1" applyFill="1" applyBorder="1" applyAlignment="1">
      <alignment horizontal="center" vertical="center"/>
    </xf>
    <xf numFmtId="1" fontId="20" fillId="9" borderId="6" xfId="0" applyNumberFormat="1" applyFont="1" applyFill="1" applyBorder="1" applyAlignment="1">
      <alignment horizontal="center"/>
    </xf>
    <xf numFmtId="0" fontId="22" fillId="9" borderId="5" xfId="0" applyFont="1" applyFill="1" applyBorder="1" applyAlignment="1">
      <alignment horizontal="center" vertical="center"/>
    </xf>
    <xf numFmtId="0" fontId="7" fillId="5" borderId="7" xfId="0" applyFont="1" applyFill="1" applyBorder="1"/>
    <xf numFmtId="0" fontId="2" fillId="0" borderId="0" xfId="0" applyFont="1"/>
    <xf numFmtId="1" fontId="5" fillId="0" borderId="0" xfId="0" applyNumberFormat="1" applyFont="1" applyAlignment="1">
      <alignment horizontal="center"/>
    </xf>
    <xf numFmtId="1" fontId="14" fillId="2" borderId="6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19" fillId="0" borderId="4" xfId="0" applyFont="1" applyBorder="1" applyAlignment="1">
      <alignment horizontal="center" vertical="top"/>
    </xf>
    <xf numFmtId="0" fontId="12" fillId="2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top"/>
    </xf>
    <xf numFmtId="1" fontId="19" fillId="8" borderId="9" xfId="0" applyNumberFormat="1" applyFont="1" applyFill="1" applyBorder="1" applyAlignment="1">
      <alignment horizontal="center" vertical="top"/>
    </xf>
    <xf numFmtId="0" fontId="19" fillId="0" borderId="6" xfId="0" applyFont="1" applyBorder="1" applyAlignment="1">
      <alignment horizontal="center" vertical="top"/>
    </xf>
    <xf numFmtId="1" fontId="19" fillId="0" borderId="6" xfId="0" applyNumberFormat="1" applyFont="1" applyBorder="1" applyAlignment="1">
      <alignment horizontal="center" vertical="top"/>
    </xf>
    <xf numFmtId="0" fontId="19" fillId="6" borderId="6" xfId="0" applyFont="1" applyFill="1" applyBorder="1" applyAlignment="1">
      <alignment horizontal="center" vertical="top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15" fillId="10" borderId="5" xfId="0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/>
    </xf>
    <xf numFmtId="0" fontId="16" fillId="10" borderId="5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8" fillId="10" borderId="5" xfId="0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0" fontId="19" fillId="10" borderId="6" xfId="0" applyFont="1" applyFill="1" applyBorder="1" applyAlignment="1">
      <alignment horizontal="center" vertical="top"/>
    </xf>
    <xf numFmtId="1" fontId="19" fillId="10" borderId="6" xfId="0" applyNumberFormat="1" applyFont="1" applyFill="1" applyBorder="1" applyAlignment="1">
      <alignment horizontal="center" vertical="top"/>
    </xf>
    <xf numFmtId="0" fontId="19" fillId="10" borderId="4" xfId="0" applyFont="1" applyFill="1" applyBorder="1" applyAlignment="1">
      <alignment horizontal="center" vertical="top"/>
    </xf>
    <xf numFmtId="1" fontId="20" fillId="10" borderId="6" xfId="0" applyNumberFormat="1" applyFont="1" applyFill="1" applyBorder="1" applyAlignment="1">
      <alignment horizontal="center" vertical="center"/>
    </xf>
    <xf numFmtId="1" fontId="21" fillId="10" borderId="6" xfId="0" applyNumberFormat="1" applyFont="1" applyFill="1" applyBorder="1" applyAlignment="1">
      <alignment horizontal="center"/>
    </xf>
    <xf numFmtId="0" fontId="22" fillId="10" borderId="5" xfId="0" applyFont="1" applyFill="1" applyBorder="1" applyAlignment="1">
      <alignment horizontal="center"/>
    </xf>
    <xf numFmtId="0" fontId="0" fillId="10" borderId="0" xfId="0" applyFill="1"/>
    <xf numFmtId="0" fontId="20" fillId="10" borderId="6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0" borderId="0" xfId="0" applyFont="1"/>
    <xf numFmtId="0" fontId="9" fillId="4" borderId="2" xfId="0" applyFont="1" applyFill="1" applyBorder="1" applyAlignment="1">
      <alignment horizontal="center"/>
    </xf>
    <xf numFmtId="0" fontId="10" fillId="0" borderId="4" xfId="0" applyFont="1" applyBorder="1"/>
    <xf numFmtId="0" fontId="8" fillId="4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21" fillId="3" borderId="2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8D01-70EE-4A42-934B-2AA97A7CAB18}">
  <dimension ref="A1:V1000"/>
  <sheetViews>
    <sheetView tabSelected="1" workbookViewId="0">
      <selection activeCell="V45" sqref="V45"/>
    </sheetView>
  </sheetViews>
  <sheetFormatPr defaultColWidth="14.44140625" defaultRowHeight="14.4"/>
  <cols>
    <col min="2" max="2" width="16.5546875" bestFit="1" customWidth="1"/>
    <col min="3" max="3" width="25" bestFit="1" customWidth="1"/>
    <col min="4" max="4" width="17.33203125" bestFit="1" customWidth="1"/>
    <col min="5" max="7" width="14.44140625" hidden="1" customWidth="1"/>
    <col min="8" max="8" width="0.109375" customWidth="1"/>
    <col min="9" max="10" width="14.44140625" customWidth="1"/>
    <col min="11" max="12" width="14.44140625" style="46" customWidth="1"/>
    <col min="13" max="16" width="14.44140625" style="46"/>
    <col min="20" max="20" width="14.44140625" style="60"/>
    <col min="21" max="21" width="14.44140625" style="61"/>
  </cols>
  <sheetData>
    <row r="1" spans="1:22" ht="15" customHeight="1">
      <c r="A1" s="87" t="s">
        <v>0</v>
      </c>
      <c r="B1" s="88"/>
      <c r="C1" s="88"/>
      <c r="D1" s="88"/>
      <c r="E1" s="88"/>
      <c r="F1" s="88"/>
      <c r="G1" s="88"/>
      <c r="H1" s="88"/>
      <c r="I1" s="1"/>
      <c r="J1" s="1"/>
      <c r="K1" s="2"/>
      <c r="L1" s="2"/>
      <c r="M1" s="2"/>
      <c r="N1" s="2"/>
      <c r="O1" s="2"/>
      <c r="P1" s="2"/>
      <c r="Q1" s="1"/>
      <c r="R1" s="1"/>
      <c r="S1" s="1"/>
      <c r="T1" s="58"/>
      <c r="U1" s="59"/>
      <c r="V1" s="1"/>
    </row>
    <row r="2" spans="1:22" ht="15.6">
      <c r="A2" s="89" t="s">
        <v>91</v>
      </c>
      <c r="B2" s="90"/>
      <c r="C2" s="90"/>
      <c r="D2" s="90"/>
      <c r="E2" s="90"/>
      <c r="F2" s="90"/>
      <c r="G2" s="91"/>
      <c r="H2" s="5"/>
      <c r="I2" s="6"/>
      <c r="J2" s="6"/>
      <c r="K2" s="7"/>
      <c r="L2" s="7"/>
      <c r="M2" s="7"/>
      <c r="N2" s="7"/>
      <c r="O2" s="7"/>
      <c r="P2" s="7"/>
      <c r="Q2" s="6"/>
      <c r="R2" s="6"/>
      <c r="S2" s="6"/>
      <c r="T2" s="58"/>
      <c r="U2" s="59"/>
      <c r="V2" s="1"/>
    </row>
    <row r="3" spans="1:22" ht="15.6">
      <c r="A3" s="92" t="s">
        <v>92</v>
      </c>
      <c r="B3" s="93"/>
      <c r="C3" s="93"/>
      <c r="D3" s="93"/>
      <c r="E3" s="93"/>
      <c r="F3" s="93"/>
      <c r="G3" s="94"/>
      <c r="H3" s="5"/>
      <c r="I3" s="81" t="s">
        <v>3</v>
      </c>
      <c r="J3" s="83"/>
      <c r="K3" s="79" t="s">
        <v>4</v>
      </c>
      <c r="L3" s="80"/>
      <c r="M3" s="79" t="s">
        <v>5</v>
      </c>
      <c r="N3" s="80"/>
      <c r="O3" s="79" t="s">
        <v>6</v>
      </c>
      <c r="P3" s="80"/>
      <c r="Q3" s="81" t="s">
        <v>7</v>
      </c>
      <c r="R3" s="82"/>
      <c r="S3" s="83"/>
      <c r="T3" s="81" t="s">
        <v>8</v>
      </c>
      <c r="U3" s="82"/>
      <c r="V3" s="1"/>
    </row>
    <row r="4" spans="1:22" s="14" customFormat="1" ht="15.6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9" t="s">
        <v>15</v>
      </c>
      <c r="H4" s="10"/>
      <c r="I4" s="51" t="s">
        <v>16</v>
      </c>
      <c r="J4" s="51" t="s">
        <v>17</v>
      </c>
      <c r="K4" s="52" t="s">
        <v>16</v>
      </c>
      <c r="L4" s="52" t="s">
        <v>17</v>
      </c>
      <c r="M4" s="52" t="s">
        <v>16</v>
      </c>
      <c r="N4" s="52" t="s">
        <v>17</v>
      </c>
      <c r="O4" s="52" t="s">
        <v>16</v>
      </c>
      <c r="P4" s="52" t="s">
        <v>17</v>
      </c>
      <c r="Q4" s="51" t="s">
        <v>16</v>
      </c>
      <c r="R4" s="51" t="s">
        <v>18</v>
      </c>
      <c r="S4" s="11" t="s">
        <v>17</v>
      </c>
      <c r="T4" s="12" t="s">
        <v>16</v>
      </c>
      <c r="U4" s="48" t="s">
        <v>18</v>
      </c>
      <c r="V4" s="13"/>
    </row>
    <row r="5" spans="1:22" ht="15" customHeight="1">
      <c r="A5" s="15">
        <v>1</v>
      </c>
      <c r="B5" s="16" t="s">
        <v>19</v>
      </c>
      <c r="C5" s="16" t="s">
        <v>20</v>
      </c>
      <c r="D5" s="17" t="s">
        <v>21</v>
      </c>
      <c r="E5" s="18">
        <v>14</v>
      </c>
      <c r="F5" s="18">
        <v>680</v>
      </c>
      <c r="G5" s="19">
        <v>57980</v>
      </c>
      <c r="H5" s="20"/>
      <c r="I5" s="55">
        <v>1520</v>
      </c>
      <c r="J5" s="55">
        <v>16</v>
      </c>
      <c r="K5" s="55">
        <v>2375</v>
      </c>
      <c r="L5" s="55">
        <v>25</v>
      </c>
      <c r="M5" s="55"/>
      <c r="N5" s="55"/>
      <c r="O5" s="55"/>
      <c r="P5" s="55"/>
      <c r="Q5" s="55">
        <f t="shared" ref="Q5:Q35" si="0">I5+K5+M5+O5</f>
        <v>3895</v>
      </c>
      <c r="R5" s="56">
        <f>Q5-Q5*12/112</f>
        <v>3477.6785714285716</v>
      </c>
      <c r="S5" s="50">
        <f t="shared" ref="S5:S35" si="1">J5+L5+N5+P5</f>
        <v>41</v>
      </c>
      <c r="T5" s="21">
        <v>358900</v>
      </c>
      <c r="U5" s="25">
        <v>304811.67857142852</v>
      </c>
      <c r="V5" s="1"/>
    </row>
    <row r="6" spans="1:22" ht="15" customHeight="1">
      <c r="A6" s="15">
        <v>2</v>
      </c>
      <c r="B6" s="16" t="s">
        <v>22</v>
      </c>
      <c r="C6" s="16" t="s">
        <v>23</v>
      </c>
      <c r="D6" s="17" t="s">
        <v>21</v>
      </c>
      <c r="E6" s="18">
        <v>14</v>
      </c>
      <c r="F6" s="18">
        <v>428</v>
      </c>
      <c r="G6" s="19">
        <v>57840</v>
      </c>
      <c r="H6" s="20"/>
      <c r="I6" s="55">
        <v>2350</v>
      </c>
      <c r="J6" s="55">
        <v>29</v>
      </c>
      <c r="K6" s="55">
        <v>7615</v>
      </c>
      <c r="L6" s="55">
        <v>57</v>
      </c>
      <c r="M6" s="55"/>
      <c r="N6" s="55"/>
      <c r="O6" s="55"/>
      <c r="P6" s="55"/>
      <c r="Q6" s="55">
        <f t="shared" si="0"/>
        <v>9965</v>
      </c>
      <c r="R6" s="56">
        <f t="shared" ref="R6:R35" si="2">Q6-Q6*12/112</f>
        <v>8897.3214285714294</v>
      </c>
      <c r="S6" s="50">
        <f t="shared" si="1"/>
        <v>86</v>
      </c>
      <c r="T6" s="21">
        <v>306775</v>
      </c>
      <c r="U6" s="25">
        <v>259844.21428571432</v>
      </c>
      <c r="V6" s="1"/>
    </row>
    <row r="7" spans="1:22" ht="15" customHeight="1">
      <c r="A7" s="15">
        <v>3</v>
      </c>
      <c r="B7" s="24" t="s">
        <v>24</v>
      </c>
      <c r="C7" s="16" t="s">
        <v>25</v>
      </c>
      <c r="D7" s="17" t="s">
        <v>21</v>
      </c>
      <c r="E7" s="18">
        <v>14</v>
      </c>
      <c r="F7" s="18">
        <v>452</v>
      </c>
      <c r="G7" s="19">
        <v>45200</v>
      </c>
      <c r="H7" s="20"/>
      <c r="I7" s="55">
        <v>2185</v>
      </c>
      <c r="J7" s="55">
        <v>23</v>
      </c>
      <c r="K7" s="55">
        <v>2090</v>
      </c>
      <c r="L7" s="55">
        <v>22</v>
      </c>
      <c r="M7" s="55"/>
      <c r="N7" s="55"/>
      <c r="O7" s="55"/>
      <c r="P7" s="55"/>
      <c r="Q7" s="55">
        <f t="shared" si="0"/>
        <v>4275</v>
      </c>
      <c r="R7" s="56">
        <f t="shared" si="2"/>
        <v>3816.9642857142858</v>
      </c>
      <c r="S7" s="50">
        <f t="shared" si="1"/>
        <v>45</v>
      </c>
      <c r="T7" s="21">
        <v>169620</v>
      </c>
      <c r="U7" s="25">
        <v>141699</v>
      </c>
      <c r="V7" s="1"/>
    </row>
    <row r="8" spans="1:22" ht="15" customHeight="1">
      <c r="A8" s="15">
        <v>4</v>
      </c>
      <c r="B8" s="24" t="s">
        <v>26</v>
      </c>
      <c r="C8" s="16" t="s">
        <v>27</v>
      </c>
      <c r="D8" s="17" t="s">
        <v>28</v>
      </c>
      <c r="E8" s="16">
        <v>5</v>
      </c>
      <c r="F8" s="18">
        <v>764</v>
      </c>
      <c r="G8" s="19">
        <v>94330</v>
      </c>
      <c r="H8" s="20"/>
      <c r="I8" s="55">
        <v>2155</v>
      </c>
      <c r="J8" s="55">
        <v>19</v>
      </c>
      <c r="K8" s="55">
        <v>7615</v>
      </c>
      <c r="L8" s="55">
        <v>57</v>
      </c>
      <c r="M8" s="55"/>
      <c r="N8" s="55"/>
      <c r="O8" s="55"/>
      <c r="P8" s="55"/>
      <c r="Q8" s="55">
        <f t="shared" si="0"/>
        <v>9770</v>
      </c>
      <c r="R8" s="56">
        <f t="shared" si="2"/>
        <v>8723.2142857142862</v>
      </c>
      <c r="S8" s="50">
        <f t="shared" si="1"/>
        <v>76</v>
      </c>
      <c r="T8" s="21">
        <v>448305</v>
      </c>
      <c r="U8" s="25">
        <v>386189.10714285722</v>
      </c>
      <c r="V8" s="1"/>
    </row>
    <row r="9" spans="1:22" ht="15" customHeight="1">
      <c r="A9" s="15">
        <v>5</v>
      </c>
      <c r="B9" s="24" t="s">
        <v>29</v>
      </c>
      <c r="C9" s="16" t="s">
        <v>30</v>
      </c>
      <c r="D9" s="17" t="s">
        <v>21</v>
      </c>
      <c r="E9" s="16">
        <v>5</v>
      </c>
      <c r="F9" s="18">
        <v>320</v>
      </c>
      <c r="G9" s="19">
        <v>46400</v>
      </c>
      <c r="H9" s="20"/>
      <c r="I9" s="55">
        <v>0</v>
      </c>
      <c r="J9" s="55">
        <v>0</v>
      </c>
      <c r="K9" s="55">
        <v>3990</v>
      </c>
      <c r="L9" s="55">
        <v>42</v>
      </c>
      <c r="M9" s="55"/>
      <c r="N9" s="55"/>
      <c r="O9" s="55"/>
      <c r="P9" s="55"/>
      <c r="Q9" s="55">
        <f t="shared" si="0"/>
        <v>3990</v>
      </c>
      <c r="R9" s="56">
        <f t="shared" si="2"/>
        <v>3562.5</v>
      </c>
      <c r="S9" s="50">
        <f t="shared" si="1"/>
        <v>42</v>
      </c>
      <c r="T9" s="21">
        <v>145366</v>
      </c>
      <c r="U9" s="25">
        <v>132207.32142857142</v>
      </c>
      <c r="V9" s="1"/>
    </row>
    <row r="10" spans="1:22" ht="15" customHeight="1">
      <c r="A10" s="15">
        <v>6</v>
      </c>
      <c r="B10" s="26" t="s">
        <v>31</v>
      </c>
      <c r="C10" s="16" t="s">
        <v>32</v>
      </c>
      <c r="D10" s="17" t="s">
        <v>33</v>
      </c>
      <c r="E10" s="16">
        <v>5</v>
      </c>
      <c r="F10" s="18">
        <v>410</v>
      </c>
      <c r="G10" s="19">
        <v>60270</v>
      </c>
      <c r="H10" s="20"/>
      <c r="I10" s="55">
        <v>1358</v>
      </c>
      <c r="J10" s="55">
        <v>14</v>
      </c>
      <c r="K10" s="55">
        <v>1067</v>
      </c>
      <c r="L10" s="55">
        <v>11</v>
      </c>
      <c r="M10" s="55"/>
      <c r="N10" s="55"/>
      <c r="O10" s="55"/>
      <c r="P10" s="55"/>
      <c r="Q10" s="55">
        <f t="shared" si="0"/>
        <v>2425</v>
      </c>
      <c r="R10" s="56">
        <f t="shared" si="2"/>
        <v>2165.1785714285716</v>
      </c>
      <c r="S10" s="50">
        <f t="shared" si="1"/>
        <v>25</v>
      </c>
      <c r="T10" s="21">
        <v>119335</v>
      </c>
      <c r="U10" s="25">
        <v>101047.10714285714</v>
      </c>
      <c r="V10" s="1"/>
    </row>
    <row r="11" spans="1:22" ht="15" customHeight="1">
      <c r="A11" s="15">
        <v>7</v>
      </c>
      <c r="B11" s="24" t="s">
        <v>34</v>
      </c>
      <c r="C11" s="16" t="s">
        <v>35</v>
      </c>
      <c r="D11" s="17" t="s">
        <v>28</v>
      </c>
      <c r="E11" s="16">
        <v>5</v>
      </c>
      <c r="F11" s="18">
        <v>414</v>
      </c>
      <c r="G11" s="19">
        <v>49630</v>
      </c>
      <c r="H11" s="20"/>
      <c r="I11" s="55">
        <v>0</v>
      </c>
      <c r="J11" s="55">
        <v>0</v>
      </c>
      <c r="K11" s="55">
        <v>0</v>
      </c>
      <c r="L11" s="55">
        <v>0</v>
      </c>
      <c r="M11" s="55"/>
      <c r="N11" s="55"/>
      <c r="O11" s="55"/>
      <c r="P11" s="55"/>
      <c r="Q11" s="55">
        <f t="shared" si="0"/>
        <v>0</v>
      </c>
      <c r="R11" s="56">
        <f t="shared" si="2"/>
        <v>0</v>
      </c>
      <c r="S11" s="50">
        <f t="shared" si="1"/>
        <v>0</v>
      </c>
      <c r="T11" s="21">
        <v>237220</v>
      </c>
      <c r="U11" s="25">
        <v>203029.71428571432</v>
      </c>
      <c r="V11" s="1"/>
    </row>
    <row r="12" spans="1:22" ht="15" customHeight="1">
      <c r="A12" s="15">
        <v>8</v>
      </c>
      <c r="B12" s="24" t="s">
        <v>24</v>
      </c>
      <c r="C12" s="16" t="s">
        <v>36</v>
      </c>
      <c r="D12" s="17" t="s">
        <v>37</v>
      </c>
      <c r="E12" s="16">
        <v>5</v>
      </c>
      <c r="F12" s="18">
        <v>312</v>
      </c>
      <c r="G12" s="19">
        <v>45240</v>
      </c>
      <c r="H12" s="20"/>
      <c r="I12" s="55">
        <v>570</v>
      </c>
      <c r="J12" s="55">
        <v>6</v>
      </c>
      <c r="K12" s="55">
        <v>1235</v>
      </c>
      <c r="L12" s="55">
        <v>13</v>
      </c>
      <c r="M12" s="55"/>
      <c r="N12" s="55"/>
      <c r="O12" s="55"/>
      <c r="P12" s="55"/>
      <c r="Q12" s="55">
        <f t="shared" si="0"/>
        <v>1805</v>
      </c>
      <c r="R12" s="56">
        <f t="shared" si="2"/>
        <v>1611.6071428571429</v>
      </c>
      <c r="S12" s="50">
        <f t="shared" si="1"/>
        <v>19</v>
      </c>
      <c r="T12" s="21">
        <v>174325</v>
      </c>
      <c r="U12" s="25">
        <v>149809.07142857145</v>
      </c>
      <c r="V12" s="1"/>
    </row>
    <row r="13" spans="1:22" ht="15" customHeight="1">
      <c r="A13" s="15">
        <v>9</v>
      </c>
      <c r="B13" s="24" t="s">
        <v>38</v>
      </c>
      <c r="C13" s="16" t="s">
        <v>39</v>
      </c>
      <c r="D13" s="17" t="s">
        <v>33</v>
      </c>
      <c r="E13" s="16">
        <v>5</v>
      </c>
      <c r="F13" s="18">
        <v>310</v>
      </c>
      <c r="G13" s="19">
        <v>44950</v>
      </c>
      <c r="H13" s="20"/>
      <c r="I13" s="55">
        <v>475</v>
      </c>
      <c r="J13" s="55">
        <v>5</v>
      </c>
      <c r="K13" s="55">
        <v>950</v>
      </c>
      <c r="L13" s="55">
        <v>10</v>
      </c>
      <c r="M13" s="55"/>
      <c r="N13" s="55"/>
      <c r="O13" s="55"/>
      <c r="P13" s="55"/>
      <c r="Q13" s="55">
        <f t="shared" si="0"/>
        <v>1425</v>
      </c>
      <c r="R13" s="56">
        <f t="shared" si="2"/>
        <v>1272.3214285714287</v>
      </c>
      <c r="S13" s="50">
        <f t="shared" si="1"/>
        <v>15</v>
      </c>
      <c r="T13" s="21">
        <v>183725</v>
      </c>
      <c r="U13" s="25">
        <v>156641.17857142858</v>
      </c>
      <c r="V13" s="1"/>
    </row>
    <row r="14" spans="1:22" s="37" customFormat="1" ht="15" customHeight="1">
      <c r="A14" s="27">
        <v>10</v>
      </c>
      <c r="B14" s="24" t="s">
        <v>40</v>
      </c>
      <c r="C14" s="28" t="s">
        <v>41</v>
      </c>
      <c r="D14" s="29" t="s">
        <v>33</v>
      </c>
      <c r="E14" s="16">
        <v>5</v>
      </c>
      <c r="F14" s="30">
        <v>458</v>
      </c>
      <c r="G14" s="31">
        <v>43510</v>
      </c>
      <c r="H14" s="32"/>
      <c r="I14" s="57"/>
      <c r="J14" s="57"/>
      <c r="K14" s="57"/>
      <c r="L14" s="57"/>
      <c r="M14" s="57"/>
      <c r="N14" s="57"/>
      <c r="O14" s="57"/>
      <c r="P14" s="57"/>
      <c r="Q14" s="55">
        <f t="shared" si="0"/>
        <v>0</v>
      </c>
      <c r="R14" s="56">
        <f t="shared" si="2"/>
        <v>0</v>
      </c>
      <c r="S14" s="50">
        <f t="shared" si="1"/>
        <v>0</v>
      </c>
      <c r="T14" s="21">
        <v>144929</v>
      </c>
      <c r="U14" s="25">
        <v>134567.32142857142</v>
      </c>
      <c r="V14" s="35"/>
    </row>
    <row r="15" spans="1:22" s="37" customFormat="1" ht="15" customHeight="1">
      <c r="A15" s="27">
        <v>11</v>
      </c>
      <c r="B15" s="24" t="s">
        <v>42</v>
      </c>
      <c r="C15" s="28" t="s">
        <v>43</v>
      </c>
      <c r="D15" s="29" t="s">
        <v>21</v>
      </c>
      <c r="E15" s="16">
        <v>5</v>
      </c>
      <c r="F15" s="30">
        <v>580</v>
      </c>
      <c r="G15" s="31">
        <v>55100</v>
      </c>
      <c r="H15" s="32"/>
      <c r="I15" s="57"/>
      <c r="J15" s="57"/>
      <c r="K15" s="57"/>
      <c r="L15" s="57"/>
      <c r="M15" s="57"/>
      <c r="N15" s="57"/>
      <c r="O15" s="57"/>
      <c r="P15" s="57"/>
      <c r="Q15" s="55">
        <f t="shared" si="0"/>
        <v>0</v>
      </c>
      <c r="R15" s="56">
        <f t="shared" si="2"/>
        <v>0</v>
      </c>
      <c r="S15" s="50">
        <f t="shared" si="1"/>
        <v>0</v>
      </c>
      <c r="T15" s="21">
        <v>31151</v>
      </c>
      <c r="U15" s="25">
        <v>29687.571428571428</v>
      </c>
      <c r="V15" s="35"/>
    </row>
    <row r="16" spans="1:22" s="37" customFormat="1" ht="15" customHeight="1">
      <c r="A16" s="27">
        <v>12</v>
      </c>
      <c r="B16" s="24" t="s">
        <v>44</v>
      </c>
      <c r="C16" s="28" t="s">
        <v>45</v>
      </c>
      <c r="D16" s="29" t="s">
        <v>21</v>
      </c>
      <c r="E16" s="16">
        <v>5</v>
      </c>
      <c r="F16" s="30">
        <v>311</v>
      </c>
      <c r="G16" s="31">
        <v>29545</v>
      </c>
      <c r="H16" s="32"/>
      <c r="I16" s="57">
        <v>0</v>
      </c>
      <c r="J16" s="57">
        <v>0</v>
      </c>
      <c r="K16" s="57">
        <v>1400</v>
      </c>
      <c r="L16" s="57">
        <v>14</v>
      </c>
      <c r="M16" s="57"/>
      <c r="N16" s="57"/>
      <c r="O16" s="57"/>
      <c r="P16" s="57"/>
      <c r="Q16" s="55">
        <f t="shared" si="0"/>
        <v>1400</v>
      </c>
      <c r="R16" s="56">
        <f t="shared" si="2"/>
        <v>1250</v>
      </c>
      <c r="S16" s="50">
        <f t="shared" si="1"/>
        <v>14</v>
      </c>
      <c r="T16" s="21">
        <v>163341</v>
      </c>
      <c r="U16" s="25">
        <v>151786.00000000003</v>
      </c>
      <c r="V16" s="35"/>
    </row>
    <row r="17" spans="1:22" s="37" customFormat="1" ht="15" customHeight="1">
      <c r="A17" s="27">
        <v>13</v>
      </c>
      <c r="B17" s="24" t="s">
        <v>46</v>
      </c>
      <c r="C17" s="28" t="s">
        <v>47</v>
      </c>
      <c r="D17" s="29" t="s">
        <v>21</v>
      </c>
      <c r="E17" s="16">
        <v>5</v>
      </c>
      <c r="F17" s="30">
        <v>302</v>
      </c>
      <c r="G17" s="31">
        <v>28550</v>
      </c>
      <c r="H17" s="32"/>
      <c r="I17" s="57">
        <v>0</v>
      </c>
      <c r="J17" s="57">
        <v>0</v>
      </c>
      <c r="K17" s="57">
        <v>1710</v>
      </c>
      <c r="L17" s="57">
        <v>18</v>
      </c>
      <c r="M17" s="57"/>
      <c r="N17" s="57"/>
      <c r="O17" s="57"/>
      <c r="P17" s="57"/>
      <c r="Q17" s="55">
        <f t="shared" si="0"/>
        <v>1710</v>
      </c>
      <c r="R17" s="56">
        <f t="shared" si="2"/>
        <v>1526.7857142857142</v>
      </c>
      <c r="S17" s="50">
        <f t="shared" si="1"/>
        <v>18</v>
      </c>
      <c r="T17" s="21">
        <v>100863</v>
      </c>
      <c r="U17" s="25">
        <v>86514.464285714275</v>
      </c>
      <c r="V17" s="35"/>
    </row>
    <row r="18" spans="1:22" s="37" customFormat="1" ht="15" customHeight="1">
      <c r="A18" s="27">
        <v>14</v>
      </c>
      <c r="B18" s="24" t="s">
        <v>48</v>
      </c>
      <c r="C18" s="28" t="s">
        <v>49</v>
      </c>
      <c r="D18" s="29" t="s">
        <v>21</v>
      </c>
      <c r="E18" s="16">
        <v>5</v>
      </c>
      <c r="F18" s="30">
        <v>847</v>
      </c>
      <c r="G18" s="31">
        <v>94415</v>
      </c>
      <c r="H18" s="32"/>
      <c r="I18" s="57">
        <v>4245</v>
      </c>
      <c r="J18" s="57">
        <v>45</v>
      </c>
      <c r="K18" s="57">
        <v>5535</v>
      </c>
      <c r="L18" s="57">
        <v>59</v>
      </c>
      <c r="M18" s="57"/>
      <c r="N18" s="57"/>
      <c r="O18" s="57"/>
      <c r="P18" s="57"/>
      <c r="Q18" s="55">
        <f t="shared" si="0"/>
        <v>9780</v>
      </c>
      <c r="R18" s="56">
        <f t="shared" si="2"/>
        <v>8732.1428571428569</v>
      </c>
      <c r="S18" s="50">
        <f t="shared" si="1"/>
        <v>104</v>
      </c>
      <c r="T18" s="21">
        <v>570610</v>
      </c>
      <c r="U18" s="25">
        <v>496992.85714285716</v>
      </c>
      <c r="V18" s="35"/>
    </row>
    <row r="19" spans="1:22" s="37" customFormat="1" ht="15" customHeight="1">
      <c r="A19" s="27">
        <v>15</v>
      </c>
      <c r="B19" s="28" t="s">
        <v>50</v>
      </c>
      <c r="C19" s="28" t="s">
        <v>51</v>
      </c>
      <c r="D19" s="29" t="s">
        <v>52</v>
      </c>
      <c r="E19" s="16">
        <v>5</v>
      </c>
      <c r="F19" s="30">
        <v>275</v>
      </c>
      <c r="G19" s="31">
        <v>28875</v>
      </c>
      <c r="H19" s="32"/>
      <c r="I19" s="57">
        <v>1235</v>
      </c>
      <c r="J19" s="57">
        <v>13</v>
      </c>
      <c r="K19" s="57">
        <v>2090</v>
      </c>
      <c r="L19" s="57">
        <v>22</v>
      </c>
      <c r="M19" s="57"/>
      <c r="N19" s="57"/>
      <c r="O19" s="57"/>
      <c r="P19" s="57"/>
      <c r="Q19" s="55">
        <f t="shared" si="0"/>
        <v>3325</v>
      </c>
      <c r="R19" s="56">
        <f t="shared" si="2"/>
        <v>2968.75</v>
      </c>
      <c r="S19" s="50">
        <f t="shared" si="1"/>
        <v>35</v>
      </c>
      <c r="T19" s="21">
        <v>136445</v>
      </c>
      <c r="U19" s="25">
        <v>121176.10714285713</v>
      </c>
      <c r="V19" s="35"/>
    </row>
    <row r="20" spans="1:22" s="37" customFormat="1" ht="15" customHeight="1">
      <c r="A20" s="27">
        <v>16</v>
      </c>
      <c r="B20" s="28" t="s">
        <v>53</v>
      </c>
      <c r="C20" s="28" t="s">
        <v>32</v>
      </c>
      <c r="D20" s="29" t="s">
        <v>28</v>
      </c>
      <c r="E20" s="16">
        <v>5</v>
      </c>
      <c r="F20" s="30">
        <v>550</v>
      </c>
      <c r="G20" s="31">
        <v>63750</v>
      </c>
      <c r="H20" s="32"/>
      <c r="I20" s="57">
        <v>315</v>
      </c>
      <c r="J20" s="57">
        <v>3</v>
      </c>
      <c r="K20" s="57">
        <v>735</v>
      </c>
      <c r="L20" s="57">
        <v>7</v>
      </c>
      <c r="M20" s="57"/>
      <c r="N20" s="57"/>
      <c r="O20" s="57"/>
      <c r="P20" s="57"/>
      <c r="Q20" s="55">
        <f t="shared" si="0"/>
        <v>1050</v>
      </c>
      <c r="R20" s="56">
        <f t="shared" si="2"/>
        <v>937.5</v>
      </c>
      <c r="S20" s="50">
        <f t="shared" si="1"/>
        <v>10</v>
      </c>
      <c r="T20" s="21">
        <v>163810</v>
      </c>
      <c r="U20" s="25">
        <v>140163.57142857142</v>
      </c>
      <c r="V20" s="35"/>
    </row>
    <row r="21" spans="1:22" s="37" customFormat="1" ht="15" customHeight="1">
      <c r="A21" s="27">
        <v>17</v>
      </c>
      <c r="B21" s="28" t="s">
        <v>54</v>
      </c>
      <c r="C21" s="28" t="s">
        <v>55</v>
      </c>
      <c r="D21" s="29" t="s">
        <v>33</v>
      </c>
      <c r="E21" s="16">
        <v>5</v>
      </c>
      <c r="F21" s="30">
        <v>570</v>
      </c>
      <c r="G21" s="31">
        <v>26250</v>
      </c>
      <c r="H21" s="32"/>
      <c r="I21" s="57">
        <v>840</v>
      </c>
      <c r="J21" s="57">
        <v>8</v>
      </c>
      <c r="K21" s="57">
        <v>1470</v>
      </c>
      <c r="L21" s="57">
        <v>14</v>
      </c>
      <c r="M21" s="57"/>
      <c r="N21" s="57"/>
      <c r="O21" s="57"/>
      <c r="P21" s="57"/>
      <c r="Q21" s="55">
        <f t="shared" si="0"/>
        <v>2310</v>
      </c>
      <c r="R21" s="56">
        <f t="shared" si="2"/>
        <v>2062.5</v>
      </c>
      <c r="S21" s="50">
        <f t="shared" si="1"/>
        <v>22</v>
      </c>
      <c r="T21" s="21">
        <v>27581</v>
      </c>
      <c r="U21" s="25">
        <v>25132.5</v>
      </c>
      <c r="V21" s="35"/>
    </row>
    <row r="22" spans="1:22" s="37" customFormat="1" ht="15" customHeight="1">
      <c r="A22" s="27">
        <v>18</v>
      </c>
      <c r="B22" s="28" t="s">
        <v>56</v>
      </c>
      <c r="C22" s="28" t="s">
        <v>57</v>
      </c>
      <c r="D22" s="29" t="s">
        <v>21</v>
      </c>
      <c r="E22" s="16">
        <v>5</v>
      </c>
      <c r="F22" s="30">
        <v>400</v>
      </c>
      <c r="G22" s="31">
        <v>38000</v>
      </c>
      <c r="H22" s="32"/>
      <c r="I22" s="57">
        <v>475</v>
      </c>
      <c r="J22" s="57">
        <v>5</v>
      </c>
      <c r="K22" s="57">
        <v>1045</v>
      </c>
      <c r="L22" s="57">
        <v>11</v>
      </c>
      <c r="M22" s="57"/>
      <c r="N22" s="57"/>
      <c r="O22" s="57"/>
      <c r="P22" s="57"/>
      <c r="Q22" s="55">
        <f t="shared" si="0"/>
        <v>1520</v>
      </c>
      <c r="R22" s="56">
        <f t="shared" si="2"/>
        <v>1357.1428571428571</v>
      </c>
      <c r="S22" s="50">
        <f t="shared" si="1"/>
        <v>16</v>
      </c>
      <c r="T22" s="21">
        <v>58937</v>
      </c>
      <c r="U22" s="25">
        <v>51335.892857142862</v>
      </c>
      <c r="V22" s="35"/>
    </row>
    <row r="23" spans="1:22" s="37" customFormat="1" ht="15" customHeight="1">
      <c r="A23" s="27">
        <v>19</v>
      </c>
      <c r="B23" s="28" t="s">
        <v>58</v>
      </c>
      <c r="C23" s="28" t="s">
        <v>57</v>
      </c>
      <c r="D23" s="29" t="s">
        <v>21</v>
      </c>
      <c r="E23" s="16">
        <v>5</v>
      </c>
      <c r="F23" s="30">
        <v>180</v>
      </c>
      <c r="G23" s="31">
        <v>17100</v>
      </c>
      <c r="H23" s="32"/>
      <c r="I23" s="57">
        <v>950</v>
      </c>
      <c r="J23" s="57">
        <v>10</v>
      </c>
      <c r="K23" s="57">
        <v>760</v>
      </c>
      <c r="L23" s="57">
        <v>8</v>
      </c>
      <c r="M23" s="57"/>
      <c r="N23" s="57"/>
      <c r="O23" s="57"/>
      <c r="P23" s="57"/>
      <c r="Q23" s="55">
        <f t="shared" si="0"/>
        <v>1710</v>
      </c>
      <c r="R23" s="56">
        <f t="shared" si="2"/>
        <v>1526.7857142857142</v>
      </c>
      <c r="S23" s="50">
        <f t="shared" si="1"/>
        <v>18</v>
      </c>
      <c r="T23" s="21">
        <v>31730</v>
      </c>
      <c r="U23" s="25">
        <v>27329.178571428569</v>
      </c>
      <c r="V23" s="35"/>
    </row>
    <row r="24" spans="1:22" s="37" customFormat="1" ht="15" customHeight="1">
      <c r="A24" s="27">
        <v>20</v>
      </c>
      <c r="B24" s="28" t="s">
        <v>59</v>
      </c>
      <c r="C24" s="28" t="s">
        <v>60</v>
      </c>
      <c r="D24" s="29" t="s">
        <v>33</v>
      </c>
      <c r="E24" s="16">
        <v>5</v>
      </c>
      <c r="F24" s="30">
        <v>400</v>
      </c>
      <c r="G24" s="31">
        <v>38000</v>
      </c>
      <c r="H24" s="32"/>
      <c r="I24" s="57">
        <v>0</v>
      </c>
      <c r="J24" s="57">
        <v>0</v>
      </c>
      <c r="K24" s="57">
        <v>0</v>
      </c>
      <c r="L24" s="57">
        <v>0</v>
      </c>
      <c r="M24" s="57"/>
      <c r="N24" s="57"/>
      <c r="O24" s="57"/>
      <c r="P24" s="57"/>
      <c r="Q24" s="55">
        <f t="shared" si="0"/>
        <v>0</v>
      </c>
      <c r="R24" s="56">
        <f t="shared" si="2"/>
        <v>0</v>
      </c>
      <c r="S24" s="50">
        <f t="shared" si="1"/>
        <v>0</v>
      </c>
      <c r="T24" s="21">
        <v>116286</v>
      </c>
      <c r="U24" s="25">
        <v>110552.28571428572</v>
      </c>
      <c r="V24" s="35"/>
    </row>
    <row r="25" spans="1:22" s="37" customFormat="1" ht="15" customHeight="1">
      <c r="A25" s="27">
        <v>21</v>
      </c>
      <c r="B25" s="28" t="s">
        <v>61</v>
      </c>
      <c r="C25" s="28" t="s">
        <v>62</v>
      </c>
      <c r="D25" s="29" t="s">
        <v>21</v>
      </c>
      <c r="E25" s="16">
        <v>5</v>
      </c>
      <c r="F25" s="30">
        <v>370</v>
      </c>
      <c r="G25" s="31">
        <v>28750</v>
      </c>
      <c r="H25" s="32"/>
      <c r="I25" s="57">
        <v>0</v>
      </c>
      <c r="J25" s="57">
        <v>0</v>
      </c>
      <c r="K25" s="57">
        <v>1100</v>
      </c>
      <c r="L25" s="57">
        <v>11</v>
      </c>
      <c r="M25" s="57"/>
      <c r="N25" s="57"/>
      <c r="O25" s="57"/>
      <c r="P25" s="57"/>
      <c r="Q25" s="55">
        <f t="shared" si="0"/>
        <v>1100</v>
      </c>
      <c r="R25" s="56">
        <f t="shared" si="2"/>
        <v>982.14285714285711</v>
      </c>
      <c r="S25" s="50">
        <f t="shared" si="1"/>
        <v>11</v>
      </c>
      <c r="T25" s="21">
        <v>39793</v>
      </c>
      <c r="U25" s="25">
        <v>35020.714285714283</v>
      </c>
      <c r="V25" s="35"/>
    </row>
    <row r="26" spans="1:22" s="37" customFormat="1" ht="15" customHeight="1">
      <c r="A26" s="27">
        <v>22</v>
      </c>
      <c r="B26" s="28" t="s">
        <v>63</v>
      </c>
      <c r="C26" s="28" t="s">
        <v>57</v>
      </c>
      <c r="D26" s="29" t="s">
        <v>21</v>
      </c>
      <c r="E26" s="16">
        <v>5</v>
      </c>
      <c r="F26" s="30">
        <v>664</v>
      </c>
      <c r="G26" s="31">
        <v>21088</v>
      </c>
      <c r="H26" s="32"/>
      <c r="I26" s="57">
        <v>1140</v>
      </c>
      <c r="J26" s="57">
        <v>12</v>
      </c>
      <c r="K26" s="57">
        <v>1520</v>
      </c>
      <c r="L26" s="57">
        <v>16</v>
      </c>
      <c r="M26" s="57"/>
      <c r="N26" s="57"/>
      <c r="O26" s="57"/>
      <c r="P26" s="57"/>
      <c r="Q26" s="55">
        <f t="shared" si="0"/>
        <v>2660</v>
      </c>
      <c r="R26" s="56">
        <f t="shared" si="2"/>
        <v>2375</v>
      </c>
      <c r="S26" s="50">
        <f t="shared" si="1"/>
        <v>28</v>
      </c>
      <c r="T26" s="21">
        <v>82900</v>
      </c>
      <c r="U26" s="25">
        <v>70687.499999999985</v>
      </c>
      <c r="V26" s="35"/>
    </row>
    <row r="27" spans="1:22" s="37" customFormat="1" ht="17.399999999999999">
      <c r="A27" s="27">
        <v>23</v>
      </c>
      <c r="B27" s="24" t="s">
        <v>64</v>
      </c>
      <c r="C27" s="28" t="s">
        <v>65</v>
      </c>
      <c r="D27" s="29" t="s">
        <v>21</v>
      </c>
      <c r="E27" s="16">
        <v>5</v>
      </c>
      <c r="F27" s="30">
        <v>525</v>
      </c>
      <c r="G27" s="31">
        <v>42975</v>
      </c>
      <c r="H27" s="32"/>
      <c r="I27" s="57">
        <v>2090</v>
      </c>
      <c r="J27" s="57">
        <v>22</v>
      </c>
      <c r="K27" s="57">
        <v>2185</v>
      </c>
      <c r="L27" s="57">
        <v>23</v>
      </c>
      <c r="M27" s="57"/>
      <c r="N27" s="57"/>
      <c r="O27" s="57"/>
      <c r="P27" s="57"/>
      <c r="Q27" s="55">
        <f t="shared" si="0"/>
        <v>4275</v>
      </c>
      <c r="R27" s="56">
        <f t="shared" si="2"/>
        <v>3816.9642857142858</v>
      </c>
      <c r="S27" s="50">
        <f t="shared" si="1"/>
        <v>45</v>
      </c>
      <c r="T27" s="21">
        <v>212607</v>
      </c>
      <c r="U27" s="25">
        <v>184372.78571428577</v>
      </c>
      <c r="V27" s="35"/>
    </row>
    <row r="28" spans="1:22" s="37" customFormat="1" ht="17.399999999999999">
      <c r="A28" s="27">
        <v>24</v>
      </c>
      <c r="B28" s="24" t="s">
        <v>66</v>
      </c>
      <c r="C28" s="28" t="s">
        <v>47</v>
      </c>
      <c r="D28" s="29" t="s">
        <v>67</v>
      </c>
      <c r="E28" s="16">
        <v>5</v>
      </c>
      <c r="F28" s="30">
        <v>449</v>
      </c>
      <c r="G28" s="31">
        <v>65105</v>
      </c>
      <c r="H28" s="32"/>
      <c r="I28" s="57">
        <v>2310</v>
      </c>
      <c r="J28" s="57">
        <v>22</v>
      </c>
      <c r="K28" s="57">
        <v>3255</v>
      </c>
      <c r="L28" s="57">
        <v>31</v>
      </c>
      <c r="M28" s="57"/>
      <c r="N28" s="57"/>
      <c r="O28" s="57"/>
      <c r="P28" s="57"/>
      <c r="Q28" s="55">
        <f t="shared" si="0"/>
        <v>5565</v>
      </c>
      <c r="R28" s="56">
        <f t="shared" si="2"/>
        <v>4968.75</v>
      </c>
      <c r="S28" s="50">
        <f t="shared" si="1"/>
        <v>53</v>
      </c>
      <c r="T28" s="21">
        <v>249630</v>
      </c>
      <c r="U28" s="25">
        <v>215767.60714285716</v>
      </c>
      <c r="V28" s="35"/>
    </row>
    <row r="29" spans="1:22" s="37" customFormat="1" ht="17.399999999999999">
      <c r="A29" s="27">
        <v>25</v>
      </c>
      <c r="B29" s="28" t="s">
        <v>68</v>
      </c>
      <c r="C29" s="28" t="s">
        <v>69</v>
      </c>
      <c r="D29" s="29" t="s">
        <v>21</v>
      </c>
      <c r="E29" s="16">
        <v>5</v>
      </c>
      <c r="F29" s="30">
        <v>450</v>
      </c>
      <c r="G29" s="31">
        <v>43650</v>
      </c>
      <c r="H29" s="32"/>
      <c r="I29" s="57">
        <v>485</v>
      </c>
      <c r="J29" s="57">
        <v>5</v>
      </c>
      <c r="K29" s="57"/>
      <c r="L29" s="57"/>
      <c r="M29" s="57"/>
      <c r="N29" s="57"/>
      <c r="O29" s="57"/>
      <c r="P29" s="57"/>
      <c r="Q29" s="55">
        <f t="shared" si="0"/>
        <v>485</v>
      </c>
      <c r="R29" s="56">
        <f t="shared" si="2"/>
        <v>433.03571428571428</v>
      </c>
      <c r="S29" s="50">
        <f t="shared" si="1"/>
        <v>5</v>
      </c>
      <c r="T29" s="21">
        <v>50014</v>
      </c>
      <c r="U29" s="25">
        <v>45525.392857142855</v>
      </c>
      <c r="V29" s="35"/>
    </row>
    <row r="30" spans="1:22" s="37" customFormat="1" ht="17.399999999999999">
      <c r="A30" s="27">
        <v>26</v>
      </c>
      <c r="B30" s="28" t="s">
        <v>70</v>
      </c>
      <c r="C30" s="28" t="s">
        <v>71</v>
      </c>
      <c r="D30" s="29" t="s">
        <v>21</v>
      </c>
      <c r="E30" s="16">
        <v>5</v>
      </c>
      <c r="F30" s="30">
        <v>300</v>
      </c>
      <c r="G30" s="31">
        <v>29100</v>
      </c>
      <c r="H30" s="32"/>
      <c r="I30" s="57">
        <v>0</v>
      </c>
      <c r="J30" s="57">
        <v>0</v>
      </c>
      <c r="K30" s="57">
        <v>388</v>
      </c>
      <c r="L30" s="57">
        <v>4</v>
      </c>
      <c r="M30" s="57"/>
      <c r="N30" s="57"/>
      <c r="O30" s="57"/>
      <c r="P30" s="57"/>
      <c r="Q30" s="55">
        <f t="shared" si="0"/>
        <v>388</v>
      </c>
      <c r="R30" s="56">
        <f t="shared" si="2"/>
        <v>346.42857142857144</v>
      </c>
      <c r="S30" s="50">
        <f t="shared" si="1"/>
        <v>4</v>
      </c>
      <c r="T30" s="21">
        <v>45105</v>
      </c>
      <c r="U30" s="25">
        <v>39964.571428571428</v>
      </c>
      <c r="V30" s="35"/>
    </row>
    <row r="31" spans="1:22" s="37" customFormat="1" ht="17.399999999999999">
      <c r="A31" s="27">
        <v>27</v>
      </c>
      <c r="B31" s="28" t="s">
        <v>72</v>
      </c>
      <c r="C31" s="28" t="s">
        <v>73</v>
      </c>
      <c r="D31" s="29" t="s">
        <v>37</v>
      </c>
      <c r="E31" s="16">
        <v>5</v>
      </c>
      <c r="F31" s="30">
        <v>896</v>
      </c>
      <c r="G31" s="31">
        <v>144420</v>
      </c>
      <c r="H31" s="32"/>
      <c r="I31" s="57">
        <v>4700</v>
      </c>
      <c r="J31" s="57">
        <v>32</v>
      </c>
      <c r="K31" s="57"/>
      <c r="L31" s="57"/>
      <c r="M31" s="57"/>
      <c r="N31" s="57"/>
      <c r="O31" s="57"/>
      <c r="P31" s="57"/>
      <c r="Q31" s="55">
        <f>I31+K31+M31+O31</f>
        <v>4700</v>
      </c>
      <c r="R31" s="56">
        <f t="shared" si="2"/>
        <v>4196.4285714285716</v>
      </c>
      <c r="S31" s="50">
        <f>J31+L31+N31+P31</f>
        <v>32</v>
      </c>
      <c r="T31" s="21">
        <v>535970</v>
      </c>
      <c r="U31" s="25">
        <v>468716.03571428568</v>
      </c>
      <c r="V31" s="35"/>
    </row>
    <row r="32" spans="1:22" ht="17.399999999999999">
      <c r="A32" s="15">
        <v>28</v>
      </c>
      <c r="B32" s="16" t="s">
        <v>74</v>
      </c>
      <c r="C32" s="16" t="s">
        <v>45</v>
      </c>
      <c r="D32" s="17" t="s">
        <v>33</v>
      </c>
      <c r="E32" s="16">
        <v>5</v>
      </c>
      <c r="F32" s="18">
        <v>360</v>
      </c>
      <c r="G32" s="19">
        <v>42700</v>
      </c>
      <c r="H32" s="20"/>
      <c r="I32" s="55">
        <v>1295</v>
      </c>
      <c r="J32" s="55">
        <v>21</v>
      </c>
      <c r="K32" s="55">
        <v>890</v>
      </c>
      <c r="L32" s="55">
        <v>14</v>
      </c>
      <c r="M32" s="55"/>
      <c r="N32" s="55"/>
      <c r="O32" s="55"/>
      <c r="P32" s="55"/>
      <c r="Q32" s="55">
        <f t="shared" si="0"/>
        <v>2185</v>
      </c>
      <c r="R32" s="56">
        <f t="shared" si="2"/>
        <v>1950.8928571428571</v>
      </c>
      <c r="S32" s="50">
        <f t="shared" si="1"/>
        <v>35</v>
      </c>
      <c r="T32" s="21">
        <v>147785</v>
      </c>
      <c r="U32" s="25">
        <v>128594.78571428572</v>
      </c>
      <c r="V32" s="1"/>
    </row>
    <row r="33" spans="1:22" s="37" customFormat="1" ht="17.399999999999999">
      <c r="A33" s="27">
        <v>29</v>
      </c>
      <c r="B33" s="28" t="s">
        <v>75</v>
      </c>
      <c r="C33" s="28" t="s">
        <v>76</v>
      </c>
      <c r="D33" s="29" t="s">
        <v>21</v>
      </c>
      <c r="E33" s="16">
        <v>5</v>
      </c>
      <c r="F33" s="30">
        <v>726</v>
      </c>
      <c r="G33" s="31">
        <v>32670</v>
      </c>
      <c r="H33" s="32"/>
      <c r="I33" s="57">
        <v>1045</v>
      </c>
      <c r="J33" s="57">
        <v>11</v>
      </c>
      <c r="K33" s="57">
        <v>2470</v>
      </c>
      <c r="L33" s="57">
        <v>26</v>
      </c>
      <c r="M33" s="57"/>
      <c r="N33" s="57"/>
      <c r="O33" s="57"/>
      <c r="P33" s="57"/>
      <c r="Q33" s="55">
        <f t="shared" si="0"/>
        <v>3515</v>
      </c>
      <c r="R33" s="56">
        <f t="shared" si="2"/>
        <v>3138.3928571428573</v>
      </c>
      <c r="S33" s="50">
        <f t="shared" si="1"/>
        <v>37</v>
      </c>
      <c r="T33" s="21">
        <v>112987</v>
      </c>
      <c r="U33" s="25">
        <v>96610.499999999985</v>
      </c>
      <c r="V33" s="35"/>
    </row>
    <row r="34" spans="1:22" s="37" customFormat="1" ht="17.399999999999999">
      <c r="A34" s="27">
        <v>30</v>
      </c>
      <c r="B34" s="28" t="s">
        <v>77</v>
      </c>
      <c r="C34" s="28" t="s">
        <v>78</v>
      </c>
      <c r="D34" s="29" t="s">
        <v>33</v>
      </c>
      <c r="E34" s="16">
        <v>5</v>
      </c>
      <c r="F34" s="30">
        <v>600</v>
      </c>
      <c r="G34" s="31">
        <v>49142</v>
      </c>
      <c r="H34" s="32"/>
      <c r="I34" s="57">
        <v>0</v>
      </c>
      <c r="J34" s="57">
        <v>0</v>
      </c>
      <c r="K34" s="57">
        <v>600</v>
      </c>
      <c r="L34" s="57">
        <v>6</v>
      </c>
      <c r="M34" s="57"/>
      <c r="N34" s="57"/>
      <c r="O34" s="57"/>
      <c r="P34" s="57"/>
      <c r="Q34" s="55">
        <f>I34+K34+M34+O34</f>
        <v>600</v>
      </c>
      <c r="R34" s="56">
        <f t="shared" si="2"/>
        <v>535.71428571428567</v>
      </c>
      <c r="S34" s="50">
        <f>J34+L34+N34+P34</f>
        <v>6</v>
      </c>
      <c r="T34" s="21">
        <v>74209</v>
      </c>
      <c r="U34" s="25">
        <v>65258.285714285725</v>
      </c>
      <c r="V34" s="35"/>
    </row>
    <row r="35" spans="1:22" ht="17.399999999999999">
      <c r="A35" s="15">
        <v>31</v>
      </c>
      <c r="B35" s="16" t="s">
        <v>79</v>
      </c>
      <c r="C35" s="16" t="s">
        <v>80</v>
      </c>
      <c r="D35" s="17" t="s">
        <v>67</v>
      </c>
      <c r="E35" s="16">
        <v>5</v>
      </c>
      <c r="F35" s="18"/>
      <c r="G35" s="19"/>
      <c r="H35" s="20"/>
      <c r="I35" s="55">
        <v>0</v>
      </c>
      <c r="J35" s="55">
        <v>0</v>
      </c>
      <c r="K35" s="55"/>
      <c r="L35" s="55"/>
      <c r="M35" s="55"/>
      <c r="N35" s="55"/>
      <c r="O35" s="55"/>
      <c r="P35" s="55"/>
      <c r="Q35" s="55">
        <f t="shared" si="0"/>
        <v>0</v>
      </c>
      <c r="R35" s="56">
        <f t="shared" si="2"/>
        <v>0</v>
      </c>
      <c r="S35" s="50">
        <f t="shared" si="1"/>
        <v>0</v>
      </c>
      <c r="T35" s="21">
        <v>46620</v>
      </c>
      <c r="U35" s="25">
        <v>41625</v>
      </c>
      <c r="V35" s="1"/>
    </row>
    <row r="36" spans="1:22" ht="15.6">
      <c r="A36" s="84" t="s">
        <v>81</v>
      </c>
      <c r="B36" s="85"/>
      <c r="C36" s="85"/>
      <c r="D36" s="85"/>
      <c r="E36" s="85"/>
      <c r="F36" s="86"/>
      <c r="G36" s="39"/>
      <c r="H36" s="40"/>
      <c r="I36" s="53">
        <f>SUM(I5:I35)</f>
        <v>31738</v>
      </c>
      <c r="J36" s="53">
        <f t="shared" ref="J36:S36" si="3">SUM(J5:J35)</f>
        <v>321</v>
      </c>
      <c r="K36" s="53">
        <f t="shared" si="3"/>
        <v>54090</v>
      </c>
      <c r="L36" s="53">
        <f t="shared" si="3"/>
        <v>521</v>
      </c>
      <c r="M36" s="53">
        <f t="shared" si="3"/>
        <v>0</v>
      </c>
      <c r="N36" s="53">
        <f t="shared" si="3"/>
        <v>0</v>
      </c>
      <c r="O36" s="53">
        <f t="shared" si="3"/>
        <v>0</v>
      </c>
      <c r="P36" s="53">
        <f t="shared" si="3"/>
        <v>0</v>
      </c>
      <c r="Q36" s="53">
        <f t="shared" si="3"/>
        <v>85828</v>
      </c>
      <c r="R36" s="54">
        <f t="shared" si="3"/>
        <v>76632.142857142841</v>
      </c>
      <c r="S36" s="41">
        <f t="shared" si="3"/>
        <v>842</v>
      </c>
      <c r="T36" s="42">
        <f>SUM(T5:T35)</f>
        <v>5286874</v>
      </c>
      <c r="U36" s="42">
        <f>SUM(U5:U35)</f>
        <v>4602659.3214285709</v>
      </c>
      <c r="V36" s="1"/>
    </row>
    <row r="37" spans="1:22" ht="15.6">
      <c r="A37" s="3"/>
      <c r="B37" s="3"/>
      <c r="C37" s="3"/>
      <c r="D37" s="3"/>
      <c r="E37" s="3"/>
      <c r="F37" s="3"/>
      <c r="G37" s="3"/>
      <c r="H37" s="3"/>
      <c r="I37" s="1"/>
      <c r="J37" s="1"/>
      <c r="K37" s="2"/>
      <c r="L37" s="2"/>
      <c r="M37" s="2"/>
      <c r="N37" s="2"/>
      <c r="O37" s="2"/>
      <c r="P37" s="2"/>
      <c r="Q37" s="1"/>
      <c r="R37" s="1"/>
      <c r="S37" s="1"/>
      <c r="T37" s="58"/>
      <c r="U37" s="59"/>
      <c r="V37" s="1"/>
    </row>
    <row r="38" spans="1:22" ht="15.6">
      <c r="A38" s="3"/>
      <c r="B38" s="3"/>
      <c r="C38" s="3"/>
      <c r="D38" s="3"/>
      <c r="E38" s="3"/>
      <c r="F38" s="3"/>
      <c r="G38" s="3"/>
      <c r="H38" s="3"/>
      <c r="I38" s="1"/>
      <c r="J38" s="1"/>
      <c r="K38" s="2"/>
      <c r="L38" s="2"/>
      <c r="M38" s="2"/>
      <c r="N38" s="2"/>
      <c r="O38" s="2"/>
      <c r="P38" s="2"/>
      <c r="Q38" s="1"/>
      <c r="R38" s="1"/>
      <c r="S38" s="1"/>
      <c r="T38" s="58"/>
      <c r="U38" s="59"/>
      <c r="V38" s="1"/>
    </row>
    <row r="39" spans="1:22">
      <c r="I39" s="78"/>
      <c r="J39" s="78"/>
    </row>
    <row r="40" spans="1:22">
      <c r="I40" s="78"/>
      <c r="J40" s="78"/>
    </row>
    <row r="41" spans="1:22">
      <c r="I41" s="78"/>
      <c r="J41" s="78"/>
    </row>
    <row r="42" spans="1:22">
      <c r="I42" s="78"/>
      <c r="J42" s="78"/>
    </row>
    <row r="43" spans="1:22">
      <c r="I43" s="78"/>
      <c r="J43" s="78"/>
    </row>
    <row r="44" spans="1:22">
      <c r="I44" s="78"/>
      <c r="J44" s="78"/>
    </row>
    <row r="45" spans="1:22">
      <c r="I45" s="78"/>
      <c r="J45" s="78"/>
    </row>
    <row r="46" spans="1:22">
      <c r="I46" s="78"/>
      <c r="J46" s="78"/>
    </row>
    <row r="47" spans="1:22">
      <c r="I47" s="78"/>
      <c r="J47" s="78"/>
    </row>
    <row r="48" spans="1:22">
      <c r="I48" s="78"/>
      <c r="J48" s="78"/>
    </row>
    <row r="49" spans="9:10">
      <c r="I49" s="78"/>
      <c r="J49" s="78"/>
    </row>
    <row r="50" spans="9:10">
      <c r="I50" s="78"/>
      <c r="J50" s="78"/>
    </row>
    <row r="51" spans="9:10">
      <c r="I51" s="78"/>
      <c r="J51" s="78"/>
    </row>
    <row r="52" spans="9:10">
      <c r="I52" s="78"/>
      <c r="J52" s="78"/>
    </row>
    <row r="53" spans="9:10">
      <c r="I53" s="78"/>
      <c r="J53" s="78"/>
    </row>
    <row r="54" spans="9:10">
      <c r="I54" s="78"/>
      <c r="J54" s="78"/>
    </row>
    <row r="55" spans="9:10">
      <c r="I55" s="78"/>
      <c r="J55" s="78"/>
    </row>
    <row r="56" spans="9:10">
      <c r="I56" s="78"/>
      <c r="J56" s="78"/>
    </row>
    <row r="57" spans="9:10">
      <c r="I57" s="78"/>
      <c r="J57" s="78"/>
    </row>
    <row r="58" spans="9:10">
      <c r="I58" s="78"/>
      <c r="J58" s="78"/>
    </row>
    <row r="59" spans="9:10">
      <c r="I59" s="78"/>
      <c r="J59" s="78"/>
    </row>
    <row r="60" spans="9:10">
      <c r="I60" s="78"/>
      <c r="J60" s="78"/>
    </row>
    <row r="61" spans="9:10">
      <c r="I61" s="78"/>
      <c r="J61" s="78"/>
    </row>
    <row r="62" spans="9:10">
      <c r="I62" s="78"/>
      <c r="J62" s="78"/>
    </row>
    <row r="63" spans="9:10">
      <c r="I63" s="78"/>
      <c r="J63" s="78"/>
    </row>
    <row r="64" spans="9:10">
      <c r="I64" s="78"/>
      <c r="J64" s="78"/>
    </row>
    <row r="65" spans="9:10">
      <c r="I65" s="78"/>
      <c r="J65" s="78"/>
    </row>
    <row r="66" spans="9:10">
      <c r="I66" s="78"/>
      <c r="J66" s="78"/>
    </row>
    <row r="67" spans="9:10">
      <c r="I67" s="78"/>
      <c r="J67" s="78"/>
    </row>
    <row r="68" spans="9:10">
      <c r="I68" s="78"/>
      <c r="J68" s="78"/>
    </row>
    <row r="69" spans="9:10">
      <c r="I69" s="78"/>
      <c r="J69" s="78"/>
    </row>
    <row r="70" spans="9:10">
      <c r="I70" s="78"/>
      <c r="J70" s="78"/>
    </row>
    <row r="71" spans="9:10">
      <c r="I71" s="78"/>
      <c r="J71" s="78"/>
    </row>
    <row r="72" spans="9:10">
      <c r="I72" s="78"/>
      <c r="J72" s="78"/>
    </row>
    <row r="73" spans="9:10">
      <c r="I73" s="78"/>
      <c r="J73" s="78"/>
    </row>
    <row r="74" spans="9:10">
      <c r="I74" s="78"/>
      <c r="J74" s="78"/>
    </row>
    <row r="75" spans="9:10">
      <c r="I75" s="78"/>
      <c r="J75" s="78"/>
    </row>
    <row r="76" spans="9:10">
      <c r="I76" s="78"/>
      <c r="J76" s="78"/>
    </row>
    <row r="77" spans="9:10">
      <c r="I77" s="78"/>
      <c r="J77" s="78"/>
    </row>
    <row r="78" spans="9:10">
      <c r="I78" s="78"/>
      <c r="J78" s="78"/>
    </row>
    <row r="79" spans="9:10">
      <c r="I79" s="78"/>
      <c r="J79" s="78"/>
    </row>
    <row r="80" spans="9:10">
      <c r="I80" s="78"/>
      <c r="J80" s="78"/>
    </row>
    <row r="81" spans="9:10">
      <c r="I81" s="78"/>
      <c r="J81" s="78"/>
    </row>
    <row r="82" spans="9:10">
      <c r="I82" s="78"/>
      <c r="J82" s="78"/>
    </row>
    <row r="83" spans="9:10">
      <c r="I83" s="78"/>
      <c r="J83" s="78"/>
    </row>
    <row r="84" spans="9:10">
      <c r="I84" s="78"/>
      <c r="J84" s="78"/>
    </row>
    <row r="85" spans="9:10">
      <c r="I85" s="78"/>
      <c r="J85" s="78"/>
    </row>
    <row r="86" spans="9:10">
      <c r="I86" s="78"/>
      <c r="J86" s="78"/>
    </row>
    <row r="87" spans="9:10">
      <c r="I87" s="78"/>
      <c r="J87" s="78"/>
    </row>
    <row r="88" spans="9:10">
      <c r="I88" s="78"/>
      <c r="J88" s="78"/>
    </row>
    <row r="89" spans="9:10">
      <c r="I89" s="78"/>
      <c r="J89" s="78"/>
    </row>
    <row r="90" spans="9:10">
      <c r="I90" s="78"/>
      <c r="J90" s="78"/>
    </row>
    <row r="91" spans="9:10">
      <c r="I91" s="78"/>
      <c r="J91" s="78"/>
    </row>
    <row r="92" spans="9:10">
      <c r="I92" s="78"/>
      <c r="J92" s="78"/>
    </row>
    <row r="93" spans="9:10">
      <c r="I93" s="78"/>
      <c r="J93" s="78"/>
    </row>
    <row r="94" spans="9:10">
      <c r="I94" s="78"/>
      <c r="J94" s="78"/>
    </row>
    <row r="95" spans="9:10">
      <c r="I95" s="78"/>
      <c r="J95" s="78"/>
    </row>
    <row r="96" spans="9:10">
      <c r="I96" s="78"/>
      <c r="J96" s="78"/>
    </row>
    <row r="97" spans="9:10">
      <c r="I97" s="78"/>
      <c r="J97" s="78"/>
    </row>
    <row r="98" spans="9:10">
      <c r="I98" s="78"/>
      <c r="J98" s="78"/>
    </row>
    <row r="99" spans="9:10">
      <c r="I99" s="78"/>
      <c r="J99" s="78"/>
    </row>
    <row r="100" spans="9:10">
      <c r="I100" s="78"/>
      <c r="J100" s="78"/>
    </row>
    <row r="101" spans="9:10">
      <c r="I101" s="78"/>
      <c r="J101" s="78"/>
    </row>
    <row r="102" spans="9:10">
      <c r="I102" s="78"/>
      <c r="J102" s="78"/>
    </row>
    <row r="103" spans="9:10">
      <c r="I103" s="78"/>
      <c r="J103" s="78"/>
    </row>
    <row r="104" spans="9:10">
      <c r="I104" s="78"/>
      <c r="J104" s="78"/>
    </row>
    <row r="105" spans="9:10">
      <c r="I105" s="78"/>
      <c r="J105" s="78"/>
    </row>
    <row r="106" spans="9:10">
      <c r="I106" s="78"/>
      <c r="J106" s="78"/>
    </row>
    <row r="107" spans="9:10">
      <c r="I107" s="78"/>
      <c r="J107" s="78"/>
    </row>
    <row r="108" spans="9:10">
      <c r="I108" s="78"/>
      <c r="J108" s="78"/>
    </row>
    <row r="109" spans="9:10">
      <c r="I109" s="78"/>
      <c r="J109" s="78"/>
    </row>
    <row r="110" spans="9:10">
      <c r="I110" s="78"/>
      <c r="J110" s="78"/>
    </row>
    <row r="111" spans="9:10">
      <c r="I111" s="78"/>
      <c r="J111" s="78"/>
    </row>
    <row r="112" spans="9:10">
      <c r="I112" s="78"/>
      <c r="J112" s="78"/>
    </row>
    <row r="113" spans="9:10">
      <c r="I113" s="78"/>
      <c r="J113" s="78"/>
    </row>
    <row r="114" spans="9:10">
      <c r="I114" s="78"/>
      <c r="J114" s="78"/>
    </row>
    <row r="115" spans="9:10">
      <c r="I115" s="78"/>
      <c r="J115" s="78"/>
    </row>
    <row r="116" spans="9:10">
      <c r="I116" s="78"/>
      <c r="J116" s="78"/>
    </row>
    <row r="117" spans="9:10">
      <c r="I117" s="78"/>
      <c r="J117" s="78"/>
    </row>
    <row r="118" spans="9:10">
      <c r="I118" s="78"/>
      <c r="J118" s="78"/>
    </row>
    <row r="119" spans="9:10">
      <c r="I119" s="78"/>
      <c r="J119" s="78"/>
    </row>
    <row r="120" spans="9:10">
      <c r="I120" s="78"/>
      <c r="J120" s="78"/>
    </row>
    <row r="121" spans="9:10">
      <c r="I121" s="78"/>
      <c r="J121" s="78"/>
    </row>
    <row r="122" spans="9:10">
      <c r="I122" s="78"/>
      <c r="J122" s="78"/>
    </row>
    <row r="123" spans="9:10">
      <c r="I123" s="78"/>
      <c r="J123" s="78"/>
    </row>
    <row r="124" spans="9:10">
      <c r="I124" s="78"/>
      <c r="J124" s="78"/>
    </row>
    <row r="125" spans="9:10">
      <c r="I125" s="78"/>
      <c r="J125" s="78"/>
    </row>
    <row r="126" spans="9:10">
      <c r="I126" s="78"/>
      <c r="J126" s="78"/>
    </row>
    <row r="127" spans="9:10">
      <c r="I127" s="78"/>
      <c r="J127" s="78"/>
    </row>
    <row r="128" spans="9:10">
      <c r="I128" s="78"/>
      <c r="J128" s="78"/>
    </row>
    <row r="129" spans="9:10">
      <c r="I129" s="78"/>
      <c r="J129" s="78"/>
    </row>
    <row r="130" spans="9:10">
      <c r="I130" s="78"/>
      <c r="J130" s="78"/>
    </row>
    <row r="131" spans="9:10">
      <c r="I131" s="78"/>
      <c r="J131" s="78"/>
    </row>
    <row r="132" spans="9:10">
      <c r="I132" s="78"/>
      <c r="J132" s="78"/>
    </row>
    <row r="133" spans="9:10">
      <c r="I133" s="78"/>
      <c r="J133" s="78"/>
    </row>
    <row r="134" spans="9:10">
      <c r="I134" s="78"/>
      <c r="J134" s="78"/>
    </row>
    <row r="135" spans="9:10">
      <c r="I135" s="78"/>
      <c r="J135" s="78"/>
    </row>
    <row r="136" spans="9:10">
      <c r="I136" s="78"/>
      <c r="J136" s="78"/>
    </row>
    <row r="137" spans="9:10">
      <c r="I137" s="78"/>
      <c r="J137" s="78"/>
    </row>
    <row r="138" spans="9:10">
      <c r="I138" s="78"/>
      <c r="J138" s="78"/>
    </row>
    <row r="139" spans="9:10">
      <c r="I139" s="78"/>
      <c r="J139" s="78"/>
    </row>
    <row r="140" spans="9:10">
      <c r="I140" s="78"/>
      <c r="J140" s="78"/>
    </row>
    <row r="141" spans="9:10">
      <c r="I141" s="78"/>
      <c r="J141" s="78"/>
    </row>
    <row r="142" spans="9:10">
      <c r="I142" s="78"/>
      <c r="J142" s="78"/>
    </row>
    <row r="143" spans="9:10">
      <c r="I143" s="78"/>
      <c r="J143" s="78"/>
    </row>
    <row r="144" spans="9:10">
      <c r="I144" s="78"/>
      <c r="J144" s="78"/>
    </row>
    <row r="145" spans="9:10">
      <c r="I145" s="78"/>
      <c r="J145" s="78"/>
    </row>
    <row r="146" spans="9:10">
      <c r="I146" s="78"/>
      <c r="J146" s="78"/>
    </row>
    <row r="147" spans="9:10">
      <c r="I147" s="78"/>
      <c r="J147" s="78"/>
    </row>
    <row r="148" spans="9:10">
      <c r="I148" s="78"/>
      <c r="J148" s="78"/>
    </row>
    <row r="149" spans="9:10">
      <c r="I149" s="78"/>
      <c r="J149" s="78"/>
    </row>
    <row r="150" spans="9:10">
      <c r="I150" s="78"/>
      <c r="J150" s="78"/>
    </row>
    <row r="151" spans="9:10">
      <c r="I151" s="78"/>
      <c r="J151" s="78"/>
    </row>
    <row r="152" spans="9:10">
      <c r="I152" s="78"/>
      <c r="J152" s="78"/>
    </row>
    <row r="153" spans="9:10">
      <c r="I153" s="78"/>
      <c r="J153" s="78"/>
    </row>
    <row r="154" spans="9:10">
      <c r="I154" s="78"/>
      <c r="J154" s="78"/>
    </row>
    <row r="155" spans="9:10">
      <c r="I155" s="78"/>
      <c r="J155" s="78"/>
    </row>
    <row r="156" spans="9:10">
      <c r="I156" s="78"/>
      <c r="J156" s="78"/>
    </row>
    <row r="157" spans="9:10">
      <c r="I157" s="78"/>
      <c r="J157" s="78"/>
    </row>
    <row r="158" spans="9:10">
      <c r="I158" s="78"/>
      <c r="J158" s="78"/>
    </row>
    <row r="159" spans="9:10">
      <c r="I159" s="78"/>
      <c r="J159" s="78"/>
    </row>
    <row r="160" spans="9:10">
      <c r="I160" s="78"/>
      <c r="J160" s="78"/>
    </row>
    <row r="161" spans="9:10">
      <c r="I161" s="78"/>
      <c r="J161" s="78"/>
    </row>
    <row r="162" spans="9:10">
      <c r="I162" s="78"/>
      <c r="J162" s="78"/>
    </row>
    <row r="163" spans="9:10">
      <c r="I163" s="78"/>
      <c r="J163" s="78"/>
    </row>
    <row r="164" spans="9:10">
      <c r="I164" s="78"/>
      <c r="J164" s="78"/>
    </row>
    <row r="165" spans="9:10">
      <c r="I165" s="78"/>
      <c r="J165" s="78"/>
    </row>
    <row r="166" spans="9:10">
      <c r="I166" s="78"/>
      <c r="J166" s="78"/>
    </row>
    <row r="167" spans="9:10">
      <c r="I167" s="78"/>
      <c r="J167" s="78"/>
    </row>
    <row r="168" spans="9:10">
      <c r="I168" s="78"/>
      <c r="J168" s="78"/>
    </row>
    <row r="169" spans="9:10">
      <c r="I169" s="78"/>
      <c r="J169" s="78"/>
    </row>
    <row r="170" spans="9:10">
      <c r="I170" s="78"/>
      <c r="J170" s="78"/>
    </row>
    <row r="171" spans="9:10">
      <c r="I171" s="78"/>
      <c r="J171" s="78"/>
    </row>
    <row r="172" spans="9:10">
      <c r="I172" s="78"/>
      <c r="J172" s="78"/>
    </row>
    <row r="173" spans="9:10">
      <c r="I173" s="78"/>
      <c r="J173" s="78"/>
    </row>
    <row r="174" spans="9:10">
      <c r="I174" s="78"/>
      <c r="J174" s="78"/>
    </row>
    <row r="175" spans="9:10">
      <c r="I175" s="78"/>
      <c r="J175" s="78"/>
    </row>
    <row r="176" spans="9:10">
      <c r="I176" s="78"/>
      <c r="J176" s="78"/>
    </row>
    <row r="177" spans="9:10">
      <c r="I177" s="78"/>
      <c r="J177" s="78"/>
    </row>
    <row r="178" spans="9:10">
      <c r="I178" s="78"/>
      <c r="J178" s="78"/>
    </row>
    <row r="179" spans="9:10">
      <c r="I179" s="78"/>
      <c r="J179" s="78"/>
    </row>
    <row r="180" spans="9:10">
      <c r="I180" s="78"/>
      <c r="J180" s="78"/>
    </row>
    <row r="181" spans="9:10">
      <c r="I181" s="78"/>
      <c r="J181" s="78"/>
    </row>
    <row r="182" spans="9:10">
      <c r="I182" s="78"/>
      <c r="J182" s="78"/>
    </row>
    <row r="183" spans="9:10">
      <c r="I183" s="78"/>
      <c r="J183" s="78"/>
    </row>
    <row r="184" spans="9:10">
      <c r="I184" s="78"/>
      <c r="J184" s="78"/>
    </row>
    <row r="185" spans="9:10">
      <c r="I185" s="78"/>
      <c r="J185" s="78"/>
    </row>
    <row r="186" spans="9:10">
      <c r="I186" s="78"/>
      <c r="J186" s="78"/>
    </row>
    <row r="187" spans="9:10">
      <c r="I187" s="78"/>
      <c r="J187" s="78"/>
    </row>
    <row r="188" spans="9:10">
      <c r="I188" s="78"/>
      <c r="J188" s="78"/>
    </row>
    <row r="189" spans="9:10">
      <c r="I189" s="78"/>
      <c r="J189" s="78"/>
    </row>
    <row r="190" spans="9:10">
      <c r="I190" s="78"/>
      <c r="J190" s="78"/>
    </row>
    <row r="191" spans="9:10">
      <c r="I191" s="78"/>
      <c r="J191" s="78"/>
    </row>
    <row r="192" spans="9:10">
      <c r="I192" s="78"/>
      <c r="J192" s="78"/>
    </row>
    <row r="193" spans="9:10">
      <c r="I193" s="78"/>
      <c r="J193" s="78"/>
    </row>
    <row r="194" spans="9:10">
      <c r="I194" s="78"/>
      <c r="J194" s="78"/>
    </row>
    <row r="195" spans="9:10">
      <c r="I195" s="78"/>
      <c r="J195" s="78"/>
    </row>
    <row r="196" spans="9:10">
      <c r="I196" s="78"/>
      <c r="J196" s="78"/>
    </row>
    <row r="197" spans="9:10">
      <c r="I197" s="78"/>
      <c r="J197" s="78"/>
    </row>
    <row r="198" spans="9:10">
      <c r="I198" s="78"/>
      <c r="J198" s="78"/>
    </row>
    <row r="199" spans="9:10">
      <c r="I199" s="78"/>
      <c r="J199" s="78"/>
    </row>
    <row r="200" spans="9:10">
      <c r="I200" s="78"/>
      <c r="J200" s="78"/>
    </row>
    <row r="201" spans="9:10">
      <c r="I201" s="78"/>
      <c r="J201" s="78"/>
    </row>
    <row r="202" spans="9:10">
      <c r="I202" s="78"/>
      <c r="J202" s="78"/>
    </row>
    <row r="203" spans="9:10">
      <c r="I203" s="78"/>
      <c r="J203" s="78"/>
    </row>
    <row r="204" spans="9:10">
      <c r="I204" s="78"/>
      <c r="J204" s="78"/>
    </row>
    <row r="205" spans="9:10">
      <c r="I205" s="78"/>
      <c r="J205" s="78"/>
    </row>
    <row r="206" spans="9:10">
      <c r="I206" s="78"/>
      <c r="J206" s="78"/>
    </row>
    <row r="207" spans="9:10">
      <c r="I207" s="78"/>
      <c r="J207" s="78"/>
    </row>
    <row r="208" spans="9:10">
      <c r="I208" s="78"/>
      <c r="J208" s="78"/>
    </row>
    <row r="209" spans="9:10">
      <c r="I209" s="78"/>
      <c r="J209" s="78"/>
    </row>
    <row r="210" spans="9:10">
      <c r="I210" s="78"/>
      <c r="J210" s="78"/>
    </row>
    <row r="211" spans="9:10">
      <c r="I211" s="78"/>
      <c r="J211" s="78"/>
    </row>
    <row r="212" spans="9:10">
      <c r="I212" s="78"/>
      <c r="J212" s="78"/>
    </row>
    <row r="213" spans="9:10">
      <c r="I213" s="78"/>
      <c r="J213" s="78"/>
    </row>
    <row r="214" spans="9:10">
      <c r="I214" s="78"/>
      <c r="J214" s="78"/>
    </row>
    <row r="215" spans="9:10">
      <c r="I215" s="78"/>
      <c r="J215" s="78"/>
    </row>
    <row r="216" spans="9:10">
      <c r="I216" s="78"/>
      <c r="J216" s="78"/>
    </row>
    <row r="217" spans="9:10">
      <c r="I217" s="78"/>
      <c r="J217" s="78"/>
    </row>
    <row r="218" spans="9:10">
      <c r="I218" s="78"/>
      <c r="J218" s="78"/>
    </row>
    <row r="219" spans="9:10">
      <c r="I219" s="78"/>
      <c r="J219" s="78"/>
    </row>
    <row r="220" spans="9:10">
      <c r="I220" s="78"/>
      <c r="J220" s="78"/>
    </row>
    <row r="221" spans="9:10">
      <c r="I221" s="78"/>
      <c r="J221" s="78"/>
    </row>
    <row r="222" spans="9:10">
      <c r="I222" s="78"/>
      <c r="J222" s="78"/>
    </row>
    <row r="223" spans="9:10">
      <c r="I223" s="78"/>
      <c r="J223" s="78"/>
    </row>
    <row r="224" spans="9:10">
      <c r="I224" s="78"/>
      <c r="J224" s="78"/>
    </row>
    <row r="225" spans="9:10">
      <c r="I225" s="78"/>
      <c r="J225" s="78"/>
    </row>
    <row r="226" spans="9:10">
      <c r="I226" s="78"/>
      <c r="J226" s="78"/>
    </row>
    <row r="227" spans="9:10">
      <c r="I227" s="78"/>
      <c r="J227" s="78"/>
    </row>
    <row r="228" spans="9:10">
      <c r="I228" s="78"/>
      <c r="J228" s="78"/>
    </row>
    <row r="229" spans="9:10">
      <c r="I229" s="78"/>
      <c r="J229" s="78"/>
    </row>
    <row r="230" spans="9:10">
      <c r="I230" s="78"/>
      <c r="J230" s="78"/>
    </row>
    <row r="231" spans="9:10">
      <c r="I231" s="78"/>
      <c r="J231" s="78"/>
    </row>
    <row r="232" spans="9:10">
      <c r="I232" s="78"/>
      <c r="J232" s="78"/>
    </row>
    <row r="233" spans="9:10">
      <c r="I233" s="78"/>
      <c r="J233" s="78"/>
    </row>
    <row r="234" spans="9:10">
      <c r="I234" s="78"/>
      <c r="J234" s="78"/>
    </row>
    <row r="235" spans="9:10">
      <c r="I235" s="78"/>
      <c r="J235" s="78"/>
    </row>
    <row r="236" spans="9:10">
      <c r="I236" s="78"/>
      <c r="J236" s="78"/>
    </row>
    <row r="237" spans="9:10">
      <c r="I237" s="78"/>
      <c r="J237" s="78"/>
    </row>
    <row r="238" spans="9:10">
      <c r="I238" s="78"/>
      <c r="J238" s="78"/>
    </row>
    <row r="239" spans="9:10">
      <c r="I239" s="78"/>
      <c r="J239" s="78"/>
    </row>
    <row r="240" spans="9:10">
      <c r="I240" s="78"/>
      <c r="J240" s="78"/>
    </row>
    <row r="241" spans="9:10">
      <c r="I241" s="78"/>
      <c r="J241" s="78"/>
    </row>
    <row r="242" spans="9:10">
      <c r="I242" s="78"/>
      <c r="J242" s="78"/>
    </row>
    <row r="243" spans="9:10">
      <c r="I243" s="78"/>
      <c r="J243" s="78"/>
    </row>
    <row r="244" spans="9:10">
      <c r="I244" s="78"/>
      <c r="J244" s="78"/>
    </row>
    <row r="245" spans="9:10">
      <c r="I245" s="78"/>
      <c r="J245" s="78"/>
    </row>
    <row r="246" spans="9:10">
      <c r="I246" s="78"/>
      <c r="J246" s="78"/>
    </row>
    <row r="247" spans="9:10">
      <c r="I247" s="78"/>
      <c r="J247" s="78"/>
    </row>
    <row r="248" spans="9:10">
      <c r="I248" s="78"/>
      <c r="J248" s="78"/>
    </row>
    <row r="249" spans="9:10">
      <c r="I249" s="78"/>
      <c r="J249" s="78"/>
    </row>
    <row r="250" spans="9:10">
      <c r="I250" s="78"/>
      <c r="J250" s="78"/>
    </row>
    <row r="251" spans="9:10">
      <c r="I251" s="78"/>
      <c r="J251" s="78"/>
    </row>
    <row r="252" spans="9:10">
      <c r="I252" s="78"/>
      <c r="J252" s="78"/>
    </row>
    <row r="253" spans="9:10">
      <c r="I253" s="78"/>
      <c r="J253" s="78"/>
    </row>
    <row r="254" spans="9:10">
      <c r="I254" s="78"/>
      <c r="J254" s="78"/>
    </row>
    <row r="255" spans="9:10">
      <c r="I255" s="78"/>
      <c r="J255" s="78"/>
    </row>
    <row r="256" spans="9:10">
      <c r="I256" s="78"/>
      <c r="J256" s="78"/>
    </row>
    <row r="257" spans="9:10">
      <c r="I257" s="78"/>
      <c r="J257" s="78"/>
    </row>
    <row r="258" spans="9:10">
      <c r="I258" s="78"/>
      <c r="J258" s="78"/>
    </row>
    <row r="259" spans="9:10">
      <c r="I259" s="78"/>
      <c r="J259" s="78"/>
    </row>
    <row r="260" spans="9:10">
      <c r="I260" s="78"/>
      <c r="J260" s="78"/>
    </row>
    <row r="261" spans="9:10">
      <c r="I261" s="78"/>
      <c r="J261" s="78"/>
    </row>
    <row r="262" spans="9:10">
      <c r="I262" s="78"/>
      <c r="J262" s="78"/>
    </row>
    <row r="263" spans="9:10">
      <c r="I263" s="78"/>
      <c r="J263" s="78"/>
    </row>
    <row r="264" spans="9:10">
      <c r="I264" s="78"/>
      <c r="J264" s="78"/>
    </row>
    <row r="265" spans="9:10">
      <c r="I265" s="78"/>
      <c r="J265" s="78"/>
    </row>
    <row r="266" spans="9:10">
      <c r="I266" s="78"/>
      <c r="J266" s="78"/>
    </row>
    <row r="267" spans="9:10">
      <c r="I267" s="78"/>
      <c r="J267" s="78"/>
    </row>
    <row r="268" spans="9:10">
      <c r="I268" s="78"/>
      <c r="J268" s="78"/>
    </row>
    <row r="269" spans="9:10">
      <c r="I269" s="78"/>
      <c r="J269" s="78"/>
    </row>
    <row r="270" spans="9:10">
      <c r="I270" s="78"/>
      <c r="J270" s="78"/>
    </row>
    <row r="271" spans="9:10">
      <c r="I271" s="78"/>
      <c r="J271" s="78"/>
    </row>
    <row r="272" spans="9:10">
      <c r="I272" s="78"/>
      <c r="J272" s="78"/>
    </row>
    <row r="273" spans="9:10">
      <c r="I273" s="78"/>
      <c r="J273" s="78"/>
    </row>
    <row r="274" spans="9:10">
      <c r="I274" s="78"/>
      <c r="J274" s="78"/>
    </row>
    <row r="275" spans="9:10">
      <c r="I275" s="78"/>
      <c r="J275" s="78"/>
    </row>
    <row r="276" spans="9:10">
      <c r="I276" s="78"/>
      <c r="J276" s="78"/>
    </row>
    <row r="277" spans="9:10">
      <c r="I277" s="78"/>
      <c r="J277" s="78"/>
    </row>
    <row r="278" spans="9:10">
      <c r="I278" s="78"/>
      <c r="J278" s="78"/>
    </row>
    <row r="279" spans="9:10">
      <c r="I279" s="78"/>
      <c r="J279" s="78"/>
    </row>
    <row r="280" spans="9:10">
      <c r="I280" s="78"/>
      <c r="J280" s="78"/>
    </row>
    <row r="281" spans="9:10">
      <c r="I281" s="78"/>
      <c r="J281" s="78"/>
    </row>
    <row r="282" spans="9:10">
      <c r="I282" s="78"/>
      <c r="J282" s="78"/>
    </row>
    <row r="283" spans="9:10">
      <c r="I283" s="78"/>
      <c r="J283" s="78"/>
    </row>
    <row r="284" spans="9:10">
      <c r="I284" s="78"/>
      <c r="J284" s="78"/>
    </row>
    <row r="285" spans="9:10">
      <c r="I285" s="78"/>
      <c r="J285" s="78"/>
    </row>
    <row r="286" spans="9:10">
      <c r="I286" s="78"/>
      <c r="J286" s="78"/>
    </row>
    <row r="287" spans="9:10">
      <c r="I287" s="78"/>
      <c r="J287" s="78"/>
    </row>
    <row r="288" spans="9:10">
      <c r="I288" s="78"/>
      <c r="J288" s="78"/>
    </row>
    <row r="289" spans="9:10">
      <c r="I289" s="78"/>
      <c r="J289" s="78"/>
    </row>
    <row r="290" spans="9:10">
      <c r="I290" s="78"/>
      <c r="J290" s="78"/>
    </row>
    <row r="291" spans="9:10">
      <c r="I291" s="78"/>
      <c r="J291" s="78"/>
    </row>
    <row r="292" spans="9:10">
      <c r="I292" s="78"/>
      <c r="J292" s="78"/>
    </row>
    <row r="293" spans="9:10">
      <c r="I293" s="78"/>
      <c r="J293" s="78"/>
    </row>
    <row r="294" spans="9:10">
      <c r="I294" s="78"/>
      <c r="J294" s="78"/>
    </row>
    <row r="295" spans="9:10">
      <c r="I295" s="78"/>
      <c r="J295" s="78"/>
    </row>
    <row r="296" spans="9:10">
      <c r="I296" s="78"/>
      <c r="J296" s="78"/>
    </row>
    <row r="297" spans="9:10">
      <c r="I297" s="78"/>
      <c r="J297" s="78"/>
    </row>
    <row r="298" spans="9:10">
      <c r="I298" s="78"/>
      <c r="J298" s="78"/>
    </row>
    <row r="299" spans="9:10">
      <c r="I299" s="78"/>
      <c r="J299" s="78"/>
    </row>
    <row r="300" spans="9:10">
      <c r="I300" s="78"/>
      <c r="J300" s="78"/>
    </row>
    <row r="301" spans="9:10">
      <c r="I301" s="78"/>
      <c r="J301" s="78"/>
    </row>
    <row r="302" spans="9:10">
      <c r="I302" s="78"/>
      <c r="J302" s="78"/>
    </row>
    <row r="303" spans="9:10">
      <c r="I303" s="78"/>
      <c r="J303" s="78"/>
    </row>
    <row r="304" spans="9:10">
      <c r="I304" s="78"/>
      <c r="J304" s="78"/>
    </row>
    <row r="305" spans="9:10">
      <c r="I305" s="78"/>
      <c r="J305" s="78"/>
    </row>
    <row r="306" spans="9:10">
      <c r="I306" s="78"/>
      <c r="J306" s="78"/>
    </row>
    <row r="307" spans="9:10">
      <c r="I307" s="78"/>
      <c r="J307" s="78"/>
    </row>
    <row r="308" spans="9:10">
      <c r="I308" s="78"/>
      <c r="J308" s="78"/>
    </row>
    <row r="309" spans="9:10">
      <c r="I309" s="78"/>
      <c r="J309" s="78"/>
    </row>
    <row r="310" spans="9:10">
      <c r="I310" s="78"/>
      <c r="J310" s="78"/>
    </row>
    <row r="311" spans="9:10">
      <c r="I311" s="78"/>
      <c r="J311" s="78"/>
    </row>
    <row r="312" spans="9:10">
      <c r="I312" s="78"/>
      <c r="J312" s="78"/>
    </row>
    <row r="313" spans="9:10">
      <c r="I313" s="78"/>
      <c r="J313" s="78"/>
    </row>
    <row r="314" spans="9:10">
      <c r="I314" s="78"/>
      <c r="J314" s="78"/>
    </row>
    <row r="315" spans="9:10">
      <c r="I315" s="78"/>
      <c r="J315" s="78"/>
    </row>
    <row r="316" spans="9:10">
      <c r="I316" s="78"/>
      <c r="J316" s="78"/>
    </row>
    <row r="317" spans="9:10">
      <c r="I317" s="78"/>
      <c r="J317" s="78"/>
    </row>
    <row r="318" spans="9:10">
      <c r="I318" s="78"/>
      <c r="J318" s="78"/>
    </row>
    <row r="319" spans="9:10">
      <c r="I319" s="78"/>
      <c r="J319" s="78"/>
    </row>
    <row r="320" spans="9:10">
      <c r="I320" s="78"/>
      <c r="J320" s="78"/>
    </row>
    <row r="321" spans="9:10">
      <c r="I321" s="78"/>
      <c r="J321" s="78"/>
    </row>
    <row r="322" spans="9:10">
      <c r="I322" s="78"/>
      <c r="J322" s="78"/>
    </row>
    <row r="323" spans="9:10">
      <c r="I323" s="78"/>
      <c r="J323" s="78"/>
    </row>
    <row r="324" spans="9:10">
      <c r="I324" s="78"/>
      <c r="J324" s="78"/>
    </row>
    <row r="325" spans="9:10">
      <c r="I325" s="78"/>
      <c r="J325" s="78"/>
    </row>
    <row r="326" spans="9:10">
      <c r="I326" s="78"/>
      <c r="J326" s="78"/>
    </row>
    <row r="327" spans="9:10">
      <c r="I327" s="78"/>
      <c r="J327" s="78"/>
    </row>
    <row r="328" spans="9:10">
      <c r="I328" s="78"/>
      <c r="J328" s="78"/>
    </row>
    <row r="329" spans="9:10">
      <c r="I329" s="78"/>
      <c r="J329" s="78"/>
    </row>
    <row r="330" spans="9:10">
      <c r="I330" s="78"/>
      <c r="J330" s="78"/>
    </row>
    <row r="331" spans="9:10">
      <c r="I331" s="78"/>
      <c r="J331" s="78"/>
    </row>
    <row r="332" spans="9:10">
      <c r="I332" s="78"/>
      <c r="J332" s="78"/>
    </row>
    <row r="333" spans="9:10">
      <c r="I333" s="78"/>
      <c r="J333" s="78"/>
    </row>
    <row r="334" spans="9:10">
      <c r="I334" s="78"/>
      <c r="J334" s="78"/>
    </row>
    <row r="335" spans="9:10">
      <c r="I335" s="78"/>
      <c r="J335" s="78"/>
    </row>
    <row r="336" spans="9:10">
      <c r="I336" s="78"/>
      <c r="J336" s="78"/>
    </row>
    <row r="337" spans="9:10">
      <c r="I337" s="78"/>
      <c r="J337" s="78"/>
    </row>
    <row r="338" spans="9:10">
      <c r="I338" s="78"/>
      <c r="J338" s="78"/>
    </row>
    <row r="339" spans="9:10">
      <c r="I339" s="78"/>
      <c r="J339" s="78"/>
    </row>
    <row r="340" spans="9:10">
      <c r="I340" s="78"/>
      <c r="J340" s="78"/>
    </row>
    <row r="341" spans="9:10">
      <c r="I341" s="78"/>
      <c r="J341" s="78"/>
    </row>
    <row r="342" spans="9:10">
      <c r="I342" s="78"/>
      <c r="J342" s="78"/>
    </row>
    <row r="343" spans="9:10">
      <c r="I343" s="78"/>
      <c r="J343" s="78"/>
    </row>
    <row r="344" spans="9:10">
      <c r="I344" s="78"/>
      <c r="J344" s="78"/>
    </row>
    <row r="345" spans="9:10">
      <c r="I345" s="78"/>
      <c r="J345" s="78"/>
    </row>
    <row r="346" spans="9:10">
      <c r="I346" s="78"/>
      <c r="J346" s="78"/>
    </row>
    <row r="347" spans="9:10">
      <c r="I347" s="78"/>
      <c r="J347" s="78"/>
    </row>
    <row r="348" spans="9:10">
      <c r="I348" s="78"/>
      <c r="J348" s="78"/>
    </row>
    <row r="349" spans="9:10">
      <c r="I349" s="78"/>
      <c r="J349" s="78"/>
    </row>
    <row r="350" spans="9:10">
      <c r="I350" s="78"/>
      <c r="J350" s="78"/>
    </row>
    <row r="351" spans="9:10">
      <c r="I351" s="78"/>
      <c r="J351" s="78"/>
    </row>
    <row r="352" spans="9:10">
      <c r="I352" s="78"/>
      <c r="J352" s="78"/>
    </row>
    <row r="353" spans="9:10">
      <c r="I353" s="78"/>
      <c r="J353" s="78"/>
    </row>
    <row r="354" spans="9:10">
      <c r="I354" s="78"/>
      <c r="J354" s="78"/>
    </row>
    <row r="355" spans="9:10">
      <c r="I355" s="78"/>
      <c r="J355" s="78"/>
    </row>
    <row r="356" spans="9:10">
      <c r="I356" s="78"/>
      <c r="J356" s="78"/>
    </row>
    <row r="357" spans="9:10">
      <c r="I357" s="78"/>
      <c r="J357" s="78"/>
    </row>
    <row r="358" spans="9:10">
      <c r="I358" s="78"/>
      <c r="J358" s="78"/>
    </row>
    <row r="359" spans="9:10">
      <c r="I359" s="78"/>
      <c r="J359" s="78"/>
    </row>
    <row r="360" spans="9:10">
      <c r="I360" s="78"/>
      <c r="J360" s="78"/>
    </row>
    <row r="361" spans="9:10">
      <c r="I361" s="78"/>
      <c r="J361" s="78"/>
    </row>
    <row r="362" spans="9:10">
      <c r="I362" s="78"/>
      <c r="J362" s="78"/>
    </row>
    <row r="363" spans="9:10">
      <c r="I363" s="78"/>
      <c r="J363" s="78"/>
    </row>
    <row r="364" spans="9:10">
      <c r="I364" s="78"/>
      <c r="J364" s="78"/>
    </row>
    <row r="365" spans="9:10">
      <c r="I365" s="78"/>
      <c r="J365" s="78"/>
    </row>
    <row r="366" spans="9:10">
      <c r="I366" s="78"/>
      <c r="J366" s="78"/>
    </row>
    <row r="367" spans="9:10">
      <c r="I367" s="78"/>
      <c r="J367" s="78"/>
    </row>
    <row r="368" spans="9:10">
      <c r="I368" s="78"/>
      <c r="J368" s="78"/>
    </row>
    <row r="369" spans="9:10">
      <c r="I369" s="78"/>
      <c r="J369" s="78"/>
    </row>
    <row r="370" spans="9:10">
      <c r="I370" s="78"/>
      <c r="J370" s="78"/>
    </row>
    <row r="371" spans="9:10">
      <c r="I371" s="78"/>
      <c r="J371" s="78"/>
    </row>
    <row r="372" spans="9:10">
      <c r="I372" s="78"/>
      <c r="J372" s="78"/>
    </row>
    <row r="373" spans="9:10">
      <c r="I373" s="78"/>
      <c r="J373" s="78"/>
    </row>
    <row r="374" spans="9:10">
      <c r="I374" s="78"/>
      <c r="J374" s="78"/>
    </row>
    <row r="375" spans="9:10">
      <c r="I375" s="78"/>
      <c r="J375" s="78"/>
    </row>
    <row r="376" spans="9:10">
      <c r="I376" s="78"/>
      <c r="J376" s="78"/>
    </row>
    <row r="377" spans="9:10">
      <c r="I377" s="78"/>
      <c r="J377" s="78"/>
    </row>
    <row r="378" spans="9:10">
      <c r="I378" s="78"/>
      <c r="J378" s="78"/>
    </row>
    <row r="379" spans="9:10">
      <c r="I379" s="78"/>
      <c r="J379" s="78"/>
    </row>
    <row r="380" spans="9:10">
      <c r="I380" s="78"/>
      <c r="J380" s="78"/>
    </row>
    <row r="381" spans="9:10">
      <c r="I381" s="78"/>
      <c r="J381" s="78"/>
    </row>
    <row r="382" spans="9:10">
      <c r="I382" s="78"/>
      <c r="J382" s="78"/>
    </row>
    <row r="383" spans="9:10">
      <c r="I383" s="78"/>
      <c r="J383" s="78"/>
    </row>
    <row r="384" spans="9:10">
      <c r="I384" s="78"/>
      <c r="J384" s="78"/>
    </row>
    <row r="385" spans="9:10">
      <c r="I385" s="78"/>
      <c r="J385" s="78"/>
    </row>
    <row r="386" spans="9:10">
      <c r="I386" s="78"/>
      <c r="J386" s="78"/>
    </row>
    <row r="387" spans="9:10">
      <c r="I387" s="78"/>
      <c r="J387" s="78"/>
    </row>
    <row r="388" spans="9:10">
      <c r="I388" s="78"/>
      <c r="J388" s="78"/>
    </row>
    <row r="389" spans="9:10">
      <c r="I389" s="78"/>
      <c r="J389" s="78"/>
    </row>
    <row r="390" spans="9:10">
      <c r="I390" s="78"/>
      <c r="J390" s="78"/>
    </row>
    <row r="391" spans="9:10">
      <c r="I391" s="78"/>
      <c r="J391" s="78"/>
    </row>
    <row r="392" spans="9:10">
      <c r="I392" s="78"/>
      <c r="J392" s="78"/>
    </row>
    <row r="393" spans="9:10">
      <c r="I393" s="78"/>
      <c r="J393" s="78"/>
    </row>
    <row r="394" spans="9:10">
      <c r="I394" s="78"/>
      <c r="J394" s="78"/>
    </row>
    <row r="395" spans="9:10">
      <c r="I395" s="78"/>
      <c r="J395" s="78"/>
    </row>
    <row r="396" spans="9:10">
      <c r="I396" s="78"/>
      <c r="J396" s="78"/>
    </row>
    <row r="397" spans="9:10">
      <c r="I397" s="78"/>
      <c r="J397" s="78"/>
    </row>
    <row r="398" spans="9:10">
      <c r="I398" s="78"/>
      <c r="J398" s="78"/>
    </row>
    <row r="399" spans="9:10">
      <c r="I399" s="78"/>
      <c r="J399" s="78"/>
    </row>
    <row r="400" spans="9:10">
      <c r="I400" s="78"/>
      <c r="J400" s="78"/>
    </row>
    <row r="401" spans="9:10">
      <c r="I401" s="78"/>
      <c r="J401" s="78"/>
    </row>
    <row r="402" spans="9:10">
      <c r="I402" s="78"/>
      <c r="J402" s="78"/>
    </row>
    <row r="403" spans="9:10">
      <c r="I403" s="78"/>
      <c r="J403" s="78"/>
    </row>
    <row r="404" spans="9:10">
      <c r="I404" s="78"/>
      <c r="J404" s="78"/>
    </row>
    <row r="405" spans="9:10">
      <c r="I405" s="78"/>
      <c r="J405" s="78"/>
    </row>
    <row r="406" spans="9:10">
      <c r="I406" s="78"/>
      <c r="J406" s="78"/>
    </row>
    <row r="407" spans="9:10">
      <c r="I407" s="78"/>
      <c r="J407" s="78"/>
    </row>
    <row r="408" spans="9:10">
      <c r="I408" s="78"/>
      <c r="J408" s="78"/>
    </row>
    <row r="409" spans="9:10">
      <c r="I409" s="78"/>
      <c r="J409" s="78"/>
    </row>
    <row r="410" spans="9:10">
      <c r="I410" s="78"/>
      <c r="J410" s="78"/>
    </row>
    <row r="411" spans="9:10">
      <c r="I411" s="78"/>
      <c r="J411" s="78"/>
    </row>
    <row r="412" spans="9:10">
      <c r="I412" s="78"/>
      <c r="J412" s="78"/>
    </row>
    <row r="413" spans="9:10">
      <c r="I413" s="78"/>
      <c r="J413" s="78"/>
    </row>
    <row r="414" spans="9:10">
      <c r="I414" s="78"/>
      <c r="J414" s="78"/>
    </row>
    <row r="415" spans="9:10">
      <c r="I415" s="78"/>
      <c r="J415" s="78"/>
    </row>
    <row r="416" spans="9:10">
      <c r="I416" s="78"/>
      <c r="J416" s="78"/>
    </row>
    <row r="417" spans="9:10">
      <c r="I417" s="78"/>
      <c r="J417" s="78"/>
    </row>
    <row r="418" spans="9:10">
      <c r="I418" s="78"/>
      <c r="J418" s="78"/>
    </row>
    <row r="419" spans="9:10">
      <c r="I419" s="78"/>
      <c r="J419" s="78"/>
    </row>
    <row r="420" spans="9:10">
      <c r="I420" s="78"/>
      <c r="J420" s="78"/>
    </row>
    <row r="421" spans="9:10">
      <c r="I421" s="78"/>
      <c r="J421" s="78"/>
    </row>
    <row r="422" spans="9:10">
      <c r="I422" s="78"/>
      <c r="J422" s="78"/>
    </row>
    <row r="423" spans="9:10">
      <c r="I423" s="78"/>
      <c r="J423" s="78"/>
    </row>
    <row r="424" spans="9:10">
      <c r="I424" s="78"/>
      <c r="J424" s="78"/>
    </row>
    <row r="425" spans="9:10">
      <c r="I425" s="78"/>
      <c r="J425" s="78"/>
    </row>
    <row r="426" spans="9:10">
      <c r="I426" s="78"/>
      <c r="J426" s="78"/>
    </row>
    <row r="427" spans="9:10">
      <c r="I427" s="78"/>
      <c r="J427" s="78"/>
    </row>
    <row r="428" spans="9:10">
      <c r="I428" s="78"/>
      <c r="J428" s="78"/>
    </row>
    <row r="429" spans="9:10">
      <c r="I429" s="78"/>
      <c r="J429" s="78"/>
    </row>
    <row r="430" spans="9:10">
      <c r="I430" s="78"/>
      <c r="J430" s="78"/>
    </row>
    <row r="431" spans="9:10">
      <c r="I431" s="78"/>
      <c r="J431" s="78"/>
    </row>
    <row r="432" spans="9:10">
      <c r="I432" s="78"/>
      <c r="J432" s="78"/>
    </row>
    <row r="433" spans="9:10">
      <c r="I433" s="78"/>
      <c r="J433" s="78"/>
    </row>
    <row r="434" spans="9:10">
      <c r="I434" s="78"/>
      <c r="J434" s="78"/>
    </row>
    <row r="435" spans="9:10">
      <c r="I435" s="78"/>
      <c r="J435" s="78"/>
    </row>
    <row r="436" spans="9:10">
      <c r="I436" s="78"/>
      <c r="J436" s="78"/>
    </row>
    <row r="437" spans="9:10">
      <c r="I437" s="78"/>
      <c r="J437" s="78"/>
    </row>
    <row r="438" spans="9:10">
      <c r="I438" s="78"/>
      <c r="J438" s="78"/>
    </row>
    <row r="439" spans="9:10">
      <c r="I439" s="78"/>
      <c r="J439" s="78"/>
    </row>
    <row r="440" spans="9:10">
      <c r="I440" s="78"/>
      <c r="J440" s="78"/>
    </row>
    <row r="441" spans="9:10">
      <c r="I441" s="78"/>
      <c r="J441" s="78"/>
    </row>
    <row r="442" spans="9:10">
      <c r="I442" s="78"/>
      <c r="J442" s="78"/>
    </row>
    <row r="443" spans="9:10">
      <c r="I443" s="78"/>
      <c r="J443" s="78"/>
    </row>
    <row r="444" spans="9:10">
      <c r="I444" s="78"/>
      <c r="J444" s="78"/>
    </row>
    <row r="445" spans="9:10">
      <c r="I445" s="78"/>
      <c r="J445" s="78"/>
    </row>
    <row r="446" spans="9:10">
      <c r="I446" s="78"/>
      <c r="J446" s="78"/>
    </row>
    <row r="447" spans="9:10">
      <c r="I447" s="78"/>
      <c r="J447" s="78"/>
    </row>
    <row r="448" spans="9:10">
      <c r="I448" s="78"/>
      <c r="J448" s="78"/>
    </row>
    <row r="449" spans="9:10">
      <c r="I449" s="78"/>
      <c r="J449" s="78"/>
    </row>
    <row r="450" spans="9:10">
      <c r="I450" s="78"/>
      <c r="J450" s="78"/>
    </row>
    <row r="451" spans="9:10">
      <c r="I451" s="78"/>
      <c r="J451" s="78"/>
    </row>
    <row r="452" spans="9:10">
      <c r="I452" s="78"/>
      <c r="J452" s="78"/>
    </row>
    <row r="453" spans="9:10">
      <c r="I453" s="78"/>
      <c r="J453" s="78"/>
    </row>
    <row r="454" spans="9:10">
      <c r="I454" s="78"/>
      <c r="J454" s="78"/>
    </row>
    <row r="455" spans="9:10">
      <c r="I455" s="78"/>
      <c r="J455" s="78"/>
    </row>
    <row r="456" spans="9:10">
      <c r="I456" s="78"/>
      <c r="J456" s="78"/>
    </row>
    <row r="457" spans="9:10">
      <c r="I457" s="78"/>
      <c r="J457" s="78"/>
    </row>
    <row r="458" spans="9:10">
      <c r="I458" s="78"/>
      <c r="J458" s="78"/>
    </row>
    <row r="459" spans="9:10">
      <c r="I459" s="78"/>
      <c r="J459" s="78"/>
    </row>
    <row r="460" spans="9:10">
      <c r="I460" s="78"/>
      <c r="J460" s="78"/>
    </row>
    <row r="461" spans="9:10">
      <c r="I461" s="78"/>
      <c r="J461" s="78"/>
    </row>
    <row r="462" spans="9:10">
      <c r="I462" s="78"/>
      <c r="J462" s="78"/>
    </row>
    <row r="463" spans="9:10">
      <c r="I463" s="78"/>
      <c r="J463" s="78"/>
    </row>
    <row r="464" spans="9:10">
      <c r="I464" s="78"/>
      <c r="J464" s="78"/>
    </row>
    <row r="465" spans="9:10">
      <c r="I465" s="78"/>
      <c r="J465" s="78"/>
    </row>
    <row r="466" spans="9:10">
      <c r="I466" s="78"/>
      <c r="J466" s="78"/>
    </row>
    <row r="467" spans="9:10">
      <c r="I467" s="78"/>
      <c r="J467" s="78"/>
    </row>
    <row r="468" spans="9:10">
      <c r="I468" s="78"/>
      <c r="J468" s="78"/>
    </row>
    <row r="469" spans="9:10">
      <c r="I469" s="78"/>
      <c r="J469" s="78"/>
    </row>
    <row r="470" spans="9:10">
      <c r="I470" s="78"/>
      <c r="J470" s="78"/>
    </row>
    <row r="471" spans="9:10">
      <c r="I471" s="78"/>
      <c r="J471" s="78"/>
    </row>
    <row r="472" spans="9:10">
      <c r="I472" s="78"/>
      <c r="J472" s="78"/>
    </row>
    <row r="473" spans="9:10">
      <c r="I473" s="78"/>
      <c r="J473" s="78"/>
    </row>
    <row r="474" spans="9:10">
      <c r="I474" s="78"/>
      <c r="J474" s="78"/>
    </row>
    <row r="475" spans="9:10">
      <c r="I475" s="78"/>
      <c r="J475" s="78"/>
    </row>
    <row r="476" spans="9:10">
      <c r="I476" s="78"/>
      <c r="J476" s="78"/>
    </row>
    <row r="477" spans="9:10">
      <c r="I477" s="78"/>
      <c r="J477" s="78"/>
    </row>
    <row r="478" spans="9:10">
      <c r="I478" s="78"/>
      <c r="J478" s="78"/>
    </row>
    <row r="479" spans="9:10">
      <c r="I479" s="78"/>
      <c r="J479" s="78"/>
    </row>
    <row r="480" spans="9:10">
      <c r="I480" s="78"/>
      <c r="J480" s="78"/>
    </row>
    <row r="481" spans="9:10">
      <c r="I481" s="78"/>
      <c r="J481" s="78"/>
    </row>
    <row r="482" spans="9:10">
      <c r="I482" s="78"/>
      <c r="J482" s="78"/>
    </row>
    <row r="483" spans="9:10">
      <c r="I483" s="78"/>
      <c r="J483" s="78"/>
    </row>
    <row r="484" spans="9:10">
      <c r="I484" s="78"/>
      <c r="J484" s="78"/>
    </row>
    <row r="485" spans="9:10">
      <c r="I485" s="78"/>
      <c r="J485" s="78"/>
    </row>
    <row r="486" spans="9:10">
      <c r="I486" s="78"/>
      <c r="J486" s="78"/>
    </row>
    <row r="487" spans="9:10">
      <c r="I487" s="78"/>
      <c r="J487" s="78"/>
    </row>
    <row r="488" spans="9:10">
      <c r="I488" s="78"/>
      <c r="J488" s="78"/>
    </row>
    <row r="489" spans="9:10">
      <c r="I489" s="78"/>
      <c r="J489" s="78"/>
    </row>
    <row r="490" spans="9:10">
      <c r="I490" s="78"/>
      <c r="J490" s="78"/>
    </row>
    <row r="491" spans="9:10">
      <c r="I491" s="78"/>
      <c r="J491" s="78"/>
    </row>
    <row r="492" spans="9:10">
      <c r="I492" s="78"/>
      <c r="J492" s="78"/>
    </row>
    <row r="493" spans="9:10">
      <c r="I493" s="78"/>
      <c r="J493" s="78"/>
    </row>
    <row r="494" spans="9:10">
      <c r="I494" s="78"/>
      <c r="J494" s="78"/>
    </row>
    <row r="495" spans="9:10">
      <c r="I495" s="78"/>
      <c r="J495" s="78"/>
    </row>
    <row r="496" spans="9:10">
      <c r="I496" s="78"/>
      <c r="J496" s="78"/>
    </row>
    <row r="497" spans="9:10">
      <c r="I497" s="78"/>
      <c r="J497" s="78"/>
    </row>
    <row r="498" spans="9:10">
      <c r="I498" s="78"/>
      <c r="J498" s="78"/>
    </row>
    <row r="499" spans="9:10">
      <c r="I499" s="78"/>
      <c r="J499" s="78"/>
    </row>
    <row r="500" spans="9:10">
      <c r="I500" s="78"/>
      <c r="J500" s="78"/>
    </row>
    <row r="501" spans="9:10">
      <c r="I501" s="78"/>
      <c r="J501" s="78"/>
    </row>
    <row r="502" spans="9:10">
      <c r="I502" s="78"/>
      <c r="J502" s="78"/>
    </row>
    <row r="503" spans="9:10">
      <c r="I503" s="78"/>
      <c r="J503" s="78"/>
    </row>
    <row r="504" spans="9:10">
      <c r="I504" s="78"/>
      <c r="J504" s="78"/>
    </row>
    <row r="505" spans="9:10">
      <c r="I505" s="78"/>
      <c r="J505" s="78"/>
    </row>
    <row r="506" spans="9:10">
      <c r="I506" s="78"/>
      <c r="J506" s="78"/>
    </row>
    <row r="507" spans="9:10">
      <c r="I507" s="78"/>
      <c r="J507" s="78"/>
    </row>
    <row r="508" spans="9:10">
      <c r="I508" s="78"/>
      <c r="J508" s="78"/>
    </row>
    <row r="509" spans="9:10">
      <c r="I509" s="78"/>
      <c r="J509" s="78"/>
    </row>
    <row r="510" spans="9:10">
      <c r="I510" s="78"/>
      <c r="J510" s="78"/>
    </row>
    <row r="511" spans="9:10">
      <c r="I511" s="78"/>
      <c r="J511" s="78"/>
    </row>
    <row r="512" spans="9:10">
      <c r="I512" s="78"/>
      <c r="J512" s="78"/>
    </row>
    <row r="513" spans="9:10">
      <c r="I513" s="78"/>
      <c r="J513" s="78"/>
    </row>
    <row r="514" spans="9:10">
      <c r="I514" s="78"/>
      <c r="J514" s="78"/>
    </row>
    <row r="515" spans="9:10">
      <c r="I515" s="78"/>
      <c r="J515" s="78"/>
    </row>
    <row r="516" spans="9:10">
      <c r="I516" s="78"/>
      <c r="J516" s="78"/>
    </row>
    <row r="517" spans="9:10">
      <c r="I517" s="78"/>
      <c r="J517" s="78"/>
    </row>
    <row r="518" spans="9:10">
      <c r="I518" s="78"/>
      <c r="J518" s="78"/>
    </row>
    <row r="519" spans="9:10">
      <c r="I519" s="78"/>
      <c r="J519" s="78"/>
    </row>
    <row r="520" spans="9:10">
      <c r="I520" s="78"/>
      <c r="J520" s="78"/>
    </row>
    <row r="521" spans="9:10">
      <c r="I521" s="78"/>
      <c r="J521" s="78"/>
    </row>
    <row r="522" spans="9:10">
      <c r="I522" s="78"/>
      <c r="J522" s="78"/>
    </row>
    <row r="523" spans="9:10">
      <c r="I523" s="78"/>
      <c r="J523" s="78"/>
    </row>
    <row r="524" spans="9:10">
      <c r="I524" s="78"/>
      <c r="J524" s="78"/>
    </row>
    <row r="525" spans="9:10">
      <c r="I525" s="78"/>
      <c r="J525" s="78"/>
    </row>
    <row r="526" spans="9:10">
      <c r="I526" s="78"/>
      <c r="J526" s="78"/>
    </row>
    <row r="527" spans="9:10">
      <c r="I527" s="78"/>
      <c r="J527" s="78"/>
    </row>
    <row r="528" spans="9:10">
      <c r="I528" s="78"/>
      <c r="J528" s="78"/>
    </row>
    <row r="529" spans="9:10">
      <c r="I529" s="78"/>
      <c r="J529" s="78"/>
    </row>
    <row r="530" spans="9:10">
      <c r="I530" s="78"/>
      <c r="J530" s="78"/>
    </row>
    <row r="531" spans="9:10">
      <c r="I531" s="78"/>
      <c r="J531" s="78"/>
    </row>
    <row r="532" spans="9:10">
      <c r="I532" s="78"/>
      <c r="J532" s="78"/>
    </row>
    <row r="533" spans="9:10">
      <c r="I533" s="78"/>
      <c r="J533" s="78"/>
    </row>
    <row r="534" spans="9:10">
      <c r="I534" s="78"/>
      <c r="J534" s="78"/>
    </row>
    <row r="535" spans="9:10">
      <c r="I535" s="78"/>
      <c r="J535" s="78"/>
    </row>
    <row r="536" spans="9:10">
      <c r="I536" s="78"/>
      <c r="J536" s="78"/>
    </row>
    <row r="537" spans="9:10">
      <c r="I537" s="78"/>
      <c r="J537" s="78"/>
    </row>
    <row r="538" spans="9:10">
      <c r="I538" s="78"/>
      <c r="J538" s="78"/>
    </row>
    <row r="539" spans="9:10">
      <c r="I539" s="78"/>
      <c r="J539" s="78"/>
    </row>
    <row r="540" spans="9:10">
      <c r="I540" s="78"/>
      <c r="J540" s="78"/>
    </row>
    <row r="541" spans="9:10">
      <c r="I541" s="78"/>
      <c r="J541" s="78"/>
    </row>
    <row r="542" spans="9:10">
      <c r="I542" s="78"/>
      <c r="J542" s="78"/>
    </row>
    <row r="543" spans="9:10">
      <c r="I543" s="78"/>
      <c r="J543" s="78"/>
    </row>
    <row r="544" spans="9:10">
      <c r="I544" s="78"/>
      <c r="J544" s="78"/>
    </row>
    <row r="545" spans="9:10">
      <c r="I545" s="78"/>
      <c r="J545" s="78"/>
    </row>
    <row r="546" spans="9:10">
      <c r="I546" s="78"/>
      <c r="J546" s="78"/>
    </row>
    <row r="547" spans="9:10">
      <c r="I547" s="78"/>
      <c r="J547" s="78"/>
    </row>
    <row r="548" spans="9:10">
      <c r="I548" s="78"/>
      <c r="J548" s="78"/>
    </row>
    <row r="549" spans="9:10">
      <c r="I549" s="78"/>
      <c r="J549" s="78"/>
    </row>
    <row r="550" spans="9:10">
      <c r="I550" s="78"/>
      <c r="J550" s="78"/>
    </row>
    <row r="551" spans="9:10">
      <c r="I551" s="78"/>
      <c r="J551" s="78"/>
    </row>
    <row r="552" spans="9:10">
      <c r="I552" s="78"/>
      <c r="J552" s="78"/>
    </row>
    <row r="553" spans="9:10">
      <c r="I553" s="78"/>
      <c r="J553" s="78"/>
    </row>
    <row r="554" spans="9:10">
      <c r="I554" s="78"/>
      <c r="J554" s="78"/>
    </row>
    <row r="555" spans="9:10">
      <c r="I555" s="78"/>
      <c r="J555" s="78"/>
    </row>
    <row r="556" spans="9:10">
      <c r="I556" s="78"/>
      <c r="J556" s="78"/>
    </row>
    <row r="557" spans="9:10">
      <c r="I557" s="78"/>
      <c r="J557" s="78"/>
    </row>
    <row r="558" spans="9:10">
      <c r="I558" s="78"/>
      <c r="J558" s="78"/>
    </row>
    <row r="559" spans="9:10">
      <c r="I559" s="78"/>
      <c r="J559" s="78"/>
    </row>
    <row r="560" spans="9:10">
      <c r="I560" s="78"/>
      <c r="J560" s="78"/>
    </row>
    <row r="561" spans="9:10">
      <c r="I561" s="78"/>
      <c r="J561" s="78"/>
    </row>
    <row r="562" spans="9:10">
      <c r="I562" s="78"/>
      <c r="J562" s="78"/>
    </row>
    <row r="563" spans="9:10">
      <c r="I563" s="78"/>
      <c r="J563" s="78"/>
    </row>
    <row r="564" spans="9:10">
      <c r="I564" s="78"/>
      <c r="J564" s="78"/>
    </row>
    <row r="565" spans="9:10">
      <c r="I565" s="78"/>
      <c r="J565" s="78"/>
    </row>
    <row r="566" spans="9:10">
      <c r="I566" s="78"/>
      <c r="J566" s="78"/>
    </row>
    <row r="567" spans="9:10">
      <c r="I567" s="78"/>
      <c r="J567" s="78"/>
    </row>
    <row r="568" spans="9:10">
      <c r="I568" s="78"/>
      <c r="J568" s="78"/>
    </row>
    <row r="569" spans="9:10">
      <c r="I569" s="78"/>
      <c r="J569" s="78"/>
    </row>
    <row r="570" spans="9:10">
      <c r="I570" s="78"/>
      <c r="J570" s="78"/>
    </row>
    <row r="571" spans="9:10">
      <c r="I571" s="78"/>
      <c r="J571" s="78"/>
    </row>
    <row r="572" spans="9:10">
      <c r="I572" s="78"/>
      <c r="J572" s="78"/>
    </row>
    <row r="573" spans="9:10">
      <c r="I573" s="78"/>
      <c r="J573" s="78"/>
    </row>
    <row r="574" spans="9:10">
      <c r="I574" s="78"/>
      <c r="J574" s="78"/>
    </row>
    <row r="575" spans="9:10">
      <c r="I575" s="78"/>
      <c r="J575" s="78"/>
    </row>
    <row r="576" spans="9:10">
      <c r="I576" s="78"/>
      <c r="J576" s="78"/>
    </row>
    <row r="577" spans="9:10">
      <c r="I577" s="78"/>
      <c r="J577" s="78"/>
    </row>
    <row r="578" spans="9:10">
      <c r="I578" s="78"/>
      <c r="J578" s="78"/>
    </row>
    <row r="579" spans="9:10">
      <c r="I579" s="78"/>
      <c r="J579" s="78"/>
    </row>
    <row r="580" spans="9:10">
      <c r="I580" s="78"/>
      <c r="J580" s="78"/>
    </row>
    <row r="581" spans="9:10">
      <c r="I581" s="78"/>
      <c r="J581" s="78"/>
    </row>
    <row r="582" spans="9:10">
      <c r="I582" s="78"/>
      <c r="J582" s="78"/>
    </row>
    <row r="583" spans="9:10">
      <c r="I583" s="78"/>
      <c r="J583" s="78"/>
    </row>
    <row r="584" spans="9:10">
      <c r="I584" s="78"/>
      <c r="J584" s="78"/>
    </row>
    <row r="585" spans="9:10">
      <c r="I585" s="78"/>
      <c r="J585" s="78"/>
    </row>
    <row r="586" spans="9:10">
      <c r="I586" s="78"/>
      <c r="J586" s="78"/>
    </row>
    <row r="587" spans="9:10">
      <c r="I587" s="78"/>
      <c r="J587" s="78"/>
    </row>
    <row r="588" spans="9:10">
      <c r="I588" s="78"/>
      <c r="J588" s="78"/>
    </row>
    <row r="589" spans="9:10">
      <c r="I589" s="78"/>
      <c r="J589" s="78"/>
    </row>
    <row r="590" spans="9:10">
      <c r="I590" s="78"/>
      <c r="J590" s="78"/>
    </row>
    <row r="591" spans="9:10">
      <c r="I591" s="78"/>
      <c r="J591" s="78"/>
    </row>
    <row r="592" spans="9:10">
      <c r="I592" s="78"/>
      <c r="J592" s="78"/>
    </row>
    <row r="593" spans="9:10">
      <c r="I593" s="78"/>
      <c r="J593" s="78"/>
    </row>
    <row r="594" spans="9:10">
      <c r="I594" s="78"/>
      <c r="J594" s="78"/>
    </row>
    <row r="595" spans="9:10">
      <c r="I595" s="78"/>
      <c r="J595" s="78"/>
    </row>
    <row r="596" spans="9:10">
      <c r="I596" s="78"/>
      <c r="J596" s="78"/>
    </row>
    <row r="597" spans="9:10">
      <c r="I597" s="78"/>
      <c r="J597" s="78"/>
    </row>
    <row r="598" spans="9:10">
      <c r="I598" s="78"/>
      <c r="J598" s="78"/>
    </row>
    <row r="599" spans="9:10">
      <c r="I599" s="78"/>
      <c r="J599" s="78"/>
    </row>
    <row r="600" spans="9:10">
      <c r="I600" s="78"/>
      <c r="J600" s="78"/>
    </row>
    <row r="601" spans="9:10">
      <c r="I601" s="78"/>
      <c r="J601" s="78"/>
    </row>
    <row r="602" spans="9:10">
      <c r="I602" s="78"/>
      <c r="J602" s="78"/>
    </row>
    <row r="603" spans="9:10">
      <c r="I603" s="78"/>
      <c r="J603" s="78"/>
    </row>
    <row r="604" spans="9:10">
      <c r="I604" s="78"/>
      <c r="J604" s="78"/>
    </row>
    <row r="605" spans="9:10">
      <c r="I605" s="78"/>
      <c r="J605" s="78"/>
    </row>
    <row r="606" spans="9:10">
      <c r="I606" s="78"/>
      <c r="J606" s="78"/>
    </row>
    <row r="607" spans="9:10">
      <c r="I607" s="78"/>
      <c r="J607" s="78"/>
    </row>
    <row r="608" spans="9:10">
      <c r="I608" s="78"/>
      <c r="J608" s="78"/>
    </row>
    <row r="609" spans="9:10">
      <c r="I609" s="78"/>
      <c r="J609" s="78"/>
    </row>
    <row r="610" spans="9:10">
      <c r="I610" s="78"/>
      <c r="J610" s="78"/>
    </row>
    <row r="611" spans="9:10">
      <c r="I611" s="78"/>
      <c r="J611" s="78"/>
    </row>
    <row r="612" spans="9:10">
      <c r="I612" s="78"/>
      <c r="J612" s="78"/>
    </row>
    <row r="613" spans="9:10">
      <c r="I613" s="78"/>
      <c r="J613" s="78"/>
    </row>
    <row r="614" spans="9:10">
      <c r="I614" s="78"/>
      <c r="J614" s="78"/>
    </row>
    <row r="615" spans="9:10">
      <c r="I615" s="78"/>
      <c r="J615" s="78"/>
    </row>
    <row r="616" spans="9:10">
      <c r="I616" s="78"/>
      <c r="J616" s="78"/>
    </row>
    <row r="617" spans="9:10">
      <c r="I617" s="78"/>
      <c r="J617" s="78"/>
    </row>
    <row r="618" spans="9:10">
      <c r="I618" s="78"/>
      <c r="J618" s="78"/>
    </row>
    <row r="619" spans="9:10">
      <c r="I619" s="78"/>
      <c r="J619" s="78"/>
    </row>
    <row r="620" spans="9:10">
      <c r="I620" s="78"/>
      <c r="J620" s="78"/>
    </row>
    <row r="621" spans="9:10">
      <c r="I621" s="78"/>
      <c r="J621" s="78"/>
    </row>
    <row r="622" spans="9:10">
      <c r="I622" s="78"/>
      <c r="J622" s="78"/>
    </row>
    <row r="623" spans="9:10">
      <c r="I623" s="78"/>
      <c r="J623" s="78"/>
    </row>
    <row r="624" spans="9:10">
      <c r="I624" s="78"/>
      <c r="J624" s="78"/>
    </row>
    <row r="625" spans="9:10">
      <c r="I625" s="78"/>
      <c r="J625" s="78"/>
    </row>
    <row r="626" spans="9:10">
      <c r="I626" s="78"/>
      <c r="J626" s="78"/>
    </row>
    <row r="627" spans="9:10">
      <c r="I627" s="78"/>
      <c r="J627" s="78"/>
    </row>
    <row r="628" spans="9:10">
      <c r="I628" s="78"/>
      <c r="J628" s="78"/>
    </row>
    <row r="629" spans="9:10">
      <c r="I629" s="78"/>
      <c r="J629" s="78"/>
    </row>
    <row r="630" spans="9:10">
      <c r="I630" s="78"/>
      <c r="J630" s="78"/>
    </row>
    <row r="631" spans="9:10">
      <c r="I631" s="78"/>
      <c r="J631" s="78"/>
    </row>
    <row r="632" spans="9:10">
      <c r="I632" s="78"/>
      <c r="J632" s="78"/>
    </row>
    <row r="633" spans="9:10">
      <c r="I633" s="78"/>
      <c r="J633" s="78"/>
    </row>
    <row r="634" spans="9:10">
      <c r="I634" s="78"/>
      <c r="J634" s="78"/>
    </row>
    <row r="635" spans="9:10">
      <c r="I635" s="78"/>
      <c r="J635" s="78"/>
    </row>
    <row r="636" spans="9:10">
      <c r="I636" s="78"/>
      <c r="J636" s="78"/>
    </row>
    <row r="637" spans="9:10">
      <c r="I637" s="78"/>
      <c r="J637" s="78"/>
    </row>
    <row r="638" spans="9:10">
      <c r="I638" s="78"/>
      <c r="J638" s="78"/>
    </row>
    <row r="639" spans="9:10">
      <c r="I639" s="78"/>
      <c r="J639" s="78"/>
    </row>
    <row r="640" spans="9:10">
      <c r="I640" s="78"/>
      <c r="J640" s="78"/>
    </row>
    <row r="641" spans="9:10">
      <c r="I641" s="78"/>
      <c r="J641" s="78"/>
    </row>
    <row r="642" spans="9:10">
      <c r="I642" s="78"/>
      <c r="J642" s="78"/>
    </row>
    <row r="643" spans="9:10">
      <c r="I643" s="78"/>
      <c r="J643" s="78"/>
    </row>
    <row r="644" spans="9:10">
      <c r="I644" s="78"/>
      <c r="J644" s="78"/>
    </row>
    <row r="645" spans="9:10">
      <c r="I645" s="78"/>
      <c r="J645" s="78"/>
    </row>
    <row r="646" spans="9:10">
      <c r="I646" s="78"/>
      <c r="J646" s="78"/>
    </row>
    <row r="647" spans="9:10">
      <c r="I647" s="78"/>
      <c r="J647" s="78"/>
    </row>
    <row r="648" spans="9:10">
      <c r="I648" s="78"/>
      <c r="J648" s="78"/>
    </row>
    <row r="649" spans="9:10">
      <c r="I649" s="78"/>
      <c r="J649" s="78"/>
    </row>
    <row r="650" spans="9:10">
      <c r="I650" s="78"/>
      <c r="J650" s="78"/>
    </row>
    <row r="651" spans="9:10">
      <c r="I651" s="78"/>
      <c r="J651" s="78"/>
    </row>
    <row r="652" spans="9:10">
      <c r="I652" s="78"/>
      <c r="J652" s="78"/>
    </row>
    <row r="653" spans="9:10">
      <c r="I653" s="78"/>
      <c r="J653" s="78"/>
    </row>
    <row r="654" spans="9:10">
      <c r="I654" s="78"/>
      <c r="J654" s="78"/>
    </row>
    <row r="655" spans="9:10">
      <c r="I655" s="78"/>
      <c r="J655" s="78"/>
    </row>
    <row r="656" spans="9:10">
      <c r="I656" s="78"/>
      <c r="J656" s="78"/>
    </row>
    <row r="657" spans="9:10">
      <c r="I657" s="78"/>
      <c r="J657" s="78"/>
    </row>
    <row r="658" spans="9:10">
      <c r="I658" s="78"/>
      <c r="J658" s="78"/>
    </row>
    <row r="659" spans="9:10">
      <c r="I659" s="78"/>
      <c r="J659" s="78"/>
    </row>
    <row r="660" spans="9:10">
      <c r="I660" s="78"/>
      <c r="J660" s="78"/>
    </row>
    <row r="661" spans="9:10">
      <c r="I661" s="78"/>
      <c r="J661" s="78"/>
    </row>
    <row r="662" spans="9:10">
      <c r="I662" s="78"/>
      <c r="J662" s="78"/>
    </row>
    <row r="663" spans="9:10">
      <c r="I663" s="78"/>
      <c r="J663" s="78"/>
    </row>
    <row r="664" spans="9:10">
      <c r="I664" s="78"/>
      <c r="J664" s="78"/>
    </row>
    <row r="665" spans="9:10">
      <c r="I665" s="78"/>
      <c r="J665" s="78"/>
    </row>
    <row r="666" spans="9:10">
      <c r="I666" s="78"/>
      <c r="J666" s="78"/>
    </row>
    <row r="667" spans="9:10">
      <c r="I667" s="78"/>
      <c r="J667" s="78"/>
    </row>
    <row r="668" spans="9:10">
      <c r="I668" s="78"/>
      <c r="J668" s="78"/>
    </row>
    <row r="669" spans="9:10">
      <c r="I669" s="78"/>
      <c r="J669" s="78"/>
    </row>
    <row r="670" spans="9:10">
      <c r="I670" s="78"/>
      <c r="J670" s="78"/>
    </row>
    <row r="671" spans="9:10">
      <c r="I671" s="78"/>
      <c r="J671" s="78"/>
    </row>
    <row r="672" spans="9:10">
      <c r="I672" s="78"/>
      <c r="J672" s="78"/>
    </row>
    <row r="673" spans="9:10">
      <c r="I673" s="78"/>
      <c r="J673" s="78"/>
    </row>
    <row r="674" spans="9:10">
      <c r="I674" s="78"/>
      <c r="J674" s="78"/>
    </row>
    <row r="675" spans="9:10">
      <c r="I675" s="78"/>
      <c r="J675" s="78"/>
    </row>
    <row r="676" spans="9:10">
      <c r="I676" s="78"/>
      <c r="J676" s="78"/>
    </row>
    <row r="677" spans="9:10">
      <c r="I677" s="78"/>
      <c r="J677" s="78"/>
    </row>
    <row r="678" spans="9:10">
      <c r="I678" s="78"/>
      <c r="J678" s="78"/>
    </row>
    <row r="679" spans="9:10">
      <c r="I679" s="78"/>
      <c r="J679" s="78"/>
    </row>
    <row r="680" spans="9:10">
      <c r="I680" s="78"/>
      <c r="J680" s="78"/>
    </row>
    <row r="681" spans="9:10">
      <c r="I681" s="78"/>
      <c r="J681" s="78"/>
    </row>
    <row r="682" spans="9:10">
      <c r="I682" s="78"/>
      <c r="J682" s="78"/>
    </row>
    <row r="683" spans="9:10">
      <c r="I683" s="78"/>
      <c r="J683" s="78"/>
    </row>
    <row r="684" spans="9:10">
      <c r="I684" s="78"/>
      <c r="J684" s="78"/>
    </row>
    <row r="685" spans="9:10">
      <c r="I685" s="78"/>
      <c r="J685" s="78"/>
    </row>
    <row r="686" spans="9:10">
      <c r="I686" s="78"/>
      <c r="J686" s="78"/>
    </row>
    <row r="687" spans="9:10">
      <c r="I687" s="78"/>
      <c r="J687" s="78"/>
    </row>
    <row r="688" spans="9:10">
      <c r="I688" s="78"/>
      <c r="J688" s="78"/>
    </row>
    <row r="689" spans="9:10">
      <c r="I689" s="78"/>
      <c r="J689" s="78"/>
    </row>
    <row r="690" spans="9:10">
      <c r="I690" s="78"/>
      <c r="J690" s="78"/>
    </row>
    <row r="691" spans="9:10">
      <c r="I691" s="78"/>
      <c r="J691" s="78"/>
    </row>
    <row r="692" spans="9:10">
      <c r="I692" s="78"/>
      <c r="J692" s="78"/>
    </row>
    <row r="693" spans="9:10">
      <c r="I693" s="78"/>
      <c r="J693" s="78"/>
    </row>
    <row r="694" spans="9:10">
      <c r="I694" s="78"/>
      <c r="J694" s="78"/>
    </row>
    <row r="695" spans="9:10">
      <c r="I695" s="78"/>
      <c r="J695" s="78"/>
    </row>
    <row r="696" spans="9:10">
      <c r="I696" s="78"/>
      <c r="J696" s="78"/>
    </row>
    <row r="697" spans="9:10">
      <c r="I697" s="78"/>
      <c r="J697" s="78"/>
    </row>
    <row r="698" spans="9:10">
      <c r="I698" s="78"/>
      <c r="J698" s="78"/>
    </row>
    <row r="699" spans="9:10">
      <c r="I699" s="78"/>
      <c r="J699" s="78"/>
    </row>
    <row r="700" spans="9:10">
      <c r="I700" s="78"/>
      <c r="J700" s="78"/>
    </row>
    <row r="701" spans="9:10">
      <c r="I701" s="78"/>
      <c r="J701" s="78"/>
    </row>
    <row r="702" spans="9:10">
      <c r="I702" s="78"/>
      <c r="J702" s="78"/>
    </row>
    <row r="703" spans="9:10">
      <c r="I703" s="78"/>
      <c r="J703" s="78"/>
    </row>
    <row r="704" spans="9:10">
      <c r="I704" s="78"/>
      <c r="J704" s="78"/>
    </row>
    <row r="705" spans="9:10">
      <c r="I705" s="78"/>
      <c r="J705" s="78"/>
    </row>
    <row r="706" spans="9:10">
      <c r="I706" s="78"/>
      <c r="J706" s="78"/>
    </row>
    <row r="707" spans="9:10">
      <c r="I707" s="78"/>
      <c r="J707" s="78"/>
    </row>
    <row r="708" spans="9:10">
      <c r="I708" s="78"/>
      <c r="J708" s="78"/>
    </row>
    <row r="709" spans="9:10">
      <c r="I709" s="78"/>
      <c r="J709" s="78"/>
    </row>
    <row r="710" spans="9:10">
      <c r="I710" s="78"/>
      <c r="J710" s="78"/>
    </row>
    <row r="711" spans="9:10">
      <c r="I711" s="78"/>
      <c r="J711" s="78"/>
    </row>
    <row r="712" spans="9:10">
      <c r="I712" s="78"/>
      <c r="J712" s="78"/>
    </row>
    <row r="713" spans="9:10">
      <c r="I713" s="78"/>
      <c r="J713" s="78"/>
    </row>
    <row r="714" spans="9:10">
      <c r="I714" s="78"/>
      <c r="J714" s="78"/>
    </row>
    <row r="715" spans="9:10">
      <c r="I715" s="78"/>
      <c r="J715" s="78"/>
    </row>
    <row r="716" spans="9:10">
      <c r="I716" s="78"/>
      <c r="J716" s="78"/>
    </row>
    <row r="717" spans="9:10">
      <c r="I717" s="78"/>
      <c r="J717" s="78"/>
    </row>
    <row r="718" spans="9:10">
      <c r="I718" s="78"/>
      <c r="J718" s="78"/>
    </row>
    <row r="719" spans="9:10">
      <c r="I719" s="78"/>
      <c r="J719" s="78"/>
    </row>
    <row r="720" spans="9:10">
      <c r="I720" s="78"/>
      <c r="J720" s="78"/>
    </row>
    <row r="721" spans="9:10">
      <c r="I721" s="78"/>
      <c r="J721" s="78"/>
    </row>
    <row r="722" spans="9:10">
      <c r="I722" s="78"/>
      <c r="J722" s="78"/>
    </row>
    <row r="723" spans="9:10">
      <c r="I723" s="78"/>
      <c r="J723" s="78"/>
    </row>
    <row r="724" spans="9:10">
      <c r="I724" s="78"/>
      <c r="J724" s="78"/>
    </row>
    <row r="725" spans="9:10">
      <c r="I725" s="78"/>
      <c r="J725" s="78"/>
    </row>
    <row r="726" spans="9:10">
      <c r="I726" s="78"/>
      <c r="J726" s="78"/>
    </row>
    <row r="727" spans="9:10">
      <c r="I727" s="78"/>
      <c r="J727" s="78"/>
    </row>
    <row r="728" spans="9:10">
      <c r="I728" s="78"/>
      <c r="J728" s="78"/>
    </row>
    <row r="729" spans="9:10">
      <c r="I729" s="78"/>
      <c r="J729" s="78"/>
    </row>
    <row r="730" spans="9:10">
      <c r="I730" s="78"/>
      <c r="J730" s="78"/>
    </row>
    <row r="731" spans="9:10">
      <c r="I731" s="78"/>
      <c r="J731" s="78"/>
    </row>
    <row r="732" spans="9:10">
      <c r="I732" s="78"/>
      <c r="J732" s="78"/>
    </row>
    <row r="733" spans="9:10">
      <c r="I733" s="78"/>
      <c r="J733" s="78"/>
    </row>
    <row r="734" spans="9:10">
      <c r="I734" s="78"/>
      <c r="J734" s="78"/>
    </row>
    <row r="735" spans="9:10">
      <c r="I735" s="78"/>
      <c r="J735" s="78"/>
    </row>
    <row r="736" spans="9:10">
      <c r="I736" s="78"/>
      <c r="J736" s="78"/>
    </row>
    <row r="737" spans="9:10">
      <c r="I737" s="78"/>
      <c r="J737" s="78"/>
    </row>
    <row r="738" spans="9:10">
      <c r="I738" s="78"/>
      <c r="J738" s="78"/>
    </row>
    <row r="739" spans="9:10">
      <c r="I739" s="78"/>
      <c r="J739" s="78"/>
    </row>
    <row r="740" spans="9:10">
      <c r="I740" s="78"/>
      <c r="J740" s="78"/>
    </row>
    <row r="741" spans="9:10">
      <c r="I741" s="78"/>
      <c r="J741" s="78"/>
    </row>
    <row r="742" spans="9:10">
      <c r="I742" s="78"/>
      <c r="J742" s="78"/>
    </row>
    <row r="743" spans="9:10">
      <c r="I743" s="78"/>
      <c r="J743" s="78"/>
    </row>
    <row r="744" spans="9:10">
      <c r="I744" s="78"/>
      <c r="J744" s="78"/>
    </row>
    <row r="745" spans="9:10">
      <c r="I745" s="78"/>
      <c r="J745" s="78"/>
    </row>
    <row r="746" spans="9:10">
      <c r="I746" s="78"/>
      <c r="J746" s="78"/>
    </row>
    <row r="747" spans="9:10">
      <c r="I747" s="78"/>
      <c r="J747" s="78"/>
    </row>
    <row r="748" spans="9:10">
      <c r="I748" s="78"/>
      <c r="J748" s="78"/>
    </row>
    <row r="749" spans="9:10">
      <c r="I749" s="78"/>
      <c r="J749" s="78"/>
    </row>
    <row r="750" spans="9:10">
      <c r="I750" s="78"/>
      <c r="J750" s="78"/>
    </row>
    <row r="751" spans="9:10">
      <c r="I751" s="78"/>
      <c r="J751" s="78"/>
    </row>
    <row r="752" spans="9:10">
      <c r="I752" s="78"/>
      <c r="J752" s="78"/>
    </row>
    <row r="753" spans="9:10">
      <c r="I753" s="78"/>
      <c r="J753" s="78"/>
    </row>
    <row r="754" spans="9:10">
      <c r="I754" s="78"/>
      <c r="J754" s="78"/>
    </row>
    <row r="755" spans="9:10">
      <c r="I755" s="78"/>
      <c r="J755" s="78"/>
    </row>
    <row r="756" spans="9:10">
      <c r="I756" s="78"/>
      <c r="J756" s="78"/>
    </row>
    <row r="757" spans="9:10">
      <c r="I757" s="78"/>
      <c r="J757" s="78"/>
    </row>
    <row r="758" spans="9:10">
      <c r="I758" s="78"/>
      <c r="J758" s="78"/>
    </row>
    <row r="759" spans="9:10">
      <c r="I759" s="78"/>
      <c r="J759" s="78"/>
    </row>
    <row r="760" spans="9:10">
      <c r="I760" s="78"/>
      <c r="J760" s="78"/>
    </row>
    <row r="761" spans="9:10">
      <c r="I761" s="78"/>
      <c r="J761" s="78"/>
    </row>
    <row r="762" spans="9:10">
      <c r="I762" s="78"/>
      <c r="J762" s="78"/>
    </row>
    <row r="763" spans="9:10">
      <c r="I763" s="78"/>
      <c r="J763" s="78"/>
    </row>
    <row r="764" spans="9:10">
      <c r="I764" s="78"/>
      <c r="J764" s="78"/>
    </row>
    <row r="765" spans="9:10">
      <c r="I765" s="78"/>
      <c r="J765" s="78"/>
    </row>
    <row r="766" spans="9:10">
      <c r="I766" s="78"/>
      <c r="J766" s="78"/>
    </row>
    <row r="767" spans="9:10">
      <c r="I767" s="78"/>
      <c r="J767" s="78"/>
    </row>
    <row r="768" spans="9:10">
      <c r="I768" s="78"/>
      <c r="J768" s="78"/>
    </row>
    <row r="769" spans="9:10">
      <c r="I769" s="78"/>
      <c r="J769" s="78"/>
    </row>
    <row r="770" spans="9:10">
      <c r="I770" s="78"/>
      <c r="J770" s="78"/>
    </row>
    <row r="771" spans="9:10">
      <c r="I771" s="78"/>
      <c r="J771" s="78"/>
    </row>
    <row r="772" spans="9:10">
      <c r="I772" s="78"/>
      <c r="J772" s="78"/>
    </row>
    <row r="773" spans="9:10">
      <c r="I773" s="78"/>
      <c r="J773" s="78"/>
    </row>
    <row r="774" spans="9:10">
      <c r="I774" s="78"/>
      <c r="J774" s="78"/>
    </row>
    <row r="775" spans="9:10">
      <c r="I775" s="78"/>
      <c r="J775" s="78"/>
    </row>
    <row r="776" spans="9:10">
      <c r="I776" s="78"/>
      <c r="J776" s="78"/>
    </row>
    <row r="777" spans="9:10">
      <c r="I777" s="78"/>
      <c r="J777" s="78"/>
    </row>
    <row r="778" spans="9:10">
      <c r="I778" s="78"/>
      <c r="J778" s="78"/>
    </row>
    <row r="779" spans="9:10">
      <c r="I779" s="78"/>
      <c r="J779" s="78"/>
    </row>
    <row r="780" spans="9:10">
      <c r="I780" s="78"/>
      <c r="J780" s="78"/>
    </row>
    <row r="781" spans="9:10">
      <c r="I781" s="78"/>
      <c r="J781" s="78"/>
    </row>
    <row r="782" spans="9:10">
      <c r="I782" s="78"/>
      <c r="J782" s="78"/>
    </row>
    <row r="783" spans="9:10">
      <c r="I783" s="78"/>
      <c r="J783" s="78"/>
    </row>
    <row r="784" spans="9:10">
      <c r="I784" s="78"/>
      <c r="J784" s="78"/>
    </row>
    <row r="785" spans="9:10">
      <c r="I785" s="78"/>
      <c r="J785" s="78"/>
    </row>
    <row r="786" spans="9:10">
      <c r="I786" s="78"/>
      <c r="J786" s="78"/>
    </row>
    <row r="787" spans="9:10">
      <c r="I787" s="78"/>
      <c r="J787" s="78"/>
    </row>
    <row r="788" spans="9:10">
      <c r="I788" s="78"/>
      <c r="J788" s="78"/>
    </row>
    <row r="789" spans="9:10">
      <c r="I789" s="78"/>
      <c r="J789" s="78"/>
    </row>
    <row r="790" spans="9:10">
      <c r="I790" s="78"/>
      <c r="J790" s="78"/>
    </row>
    <row r="791" spans="9:10">
      <c r="I791" s="78"/>
      <c r="J791" s="78"/>
    </row>
    <row r="792" spans="9:10">
      <c r="I792" s="78"/>
      <c r="J792" s="78"/>
    </row>
    <row r="793" spans="9:10">
      <c r="I793" s="78"/>
      <c r="J793" s="78"/>
    </row>
    <row r="794" spans="9:10">
      <c r="I794" s="78"/>
      <c r="J794" s="78"/>
    </row>
    <row r="795" spans="9:10">
      <c r="I795" s="78"/>
      <c r="J795" s="78"/>
    </row>
    <row r="796" spans="9:10">
      <c r="I796" s="78"/>
      <c r="J796" s="78"/>
    </row>
    <row r="797" spans="9:10">
      <c r="I797" s="78"/>
      <c r="J797" s="78"/>
    </row>
    <row r="798" spans="9:10">
      <c r="I798" s="78"/>
      <c r="J798" s="78"/>
    </row>
    <row r="799" spans="9:10">
      <c r="I799" s="78"/>
      <c r="J799" s="78"/>
    </row>
    <row r="800" spans="9:10">
      <c r="I800" s="78"/>
      <c r="J800" s="78"/>
    </row>
    <row r="801" spans="9:10">
      <c r="I801" s="78"/>
      <c r="J801" s="78"/>
    </row>
    <row r="802" spans="9:10">
      <c r="I802" s="78"/>
      <c r="J802" s="78"/>
    </row>
    <row r="803" spans="9:10">
      <c r="I803" s="78"/>
      <c r="J803" s="78"/>
    </row>
    <row r="804" spans="9:10">
      <c r="I804" s="78"/>
      <c r="J804" s="78"/>
    </row>
    <row r="805" spans="9:10">
      <c r="I805" s="78"/>
      <c r="J805" s="78"/>
    </row>
    <row r="806" spans="9:10">
      <c r="I806" s="78"/>
      <c r="J806" s="78"/>
    </row>
    <row r="807" spans="9:10">
      <c r="I807" s="78"/>
      <c r="J807" s="78"/>
    </row>
    <row r="808" spans="9:10">
      <c r="I808" s="78"/>
      <c r="J808" s="78"/>
    </row>
    <row r="809" spans="9:10">
      <c r="I809" s="78"/>
      <c r="J809" s="78"/>
    </row>
    <row r="810" spans="9:10">
      <c r="I810" s="78"/>
      <c r="J810" s="78"/>
    </row>
    <row r="811" spans="9:10">
      <c r="I811" s="78"/>
      <c r="J811" s="78"/>
    </row>
    <row r="812" spans="9:10">
      <c r="I812" s="78"/>
      <c r="J812" s="78"/>
    </row>
    <row r="813" spans="9:10">
      <c r="I813" s="78"/>
      <c r="J813" s="78"/>
    </row>
    <row r="814" spans="9:10">
      <c r="I814" s="78"/>
      <c r="J814" s="78"/>
    </row>
    <row r="815" spans="9:10">
      <c r="I815" s="78"/>
      <c r="J815" s="78"/>
    </row>
    <row r="816" spans="9:10">
      <c r="I816" s="78"/>
      <c r="J816" s="78"/>
    </row>
    <row r="817" spans="9:10">
      <c r="I817" s="78"/>
      <c r="J817" s="78"/>
    </row>
    <row r="818" spans="9:10">
      <c r="I818" s="78"/>
      <c r="J818" s="78"/>
    </row>
    <row r="819" spans="9:10">
      <c r="I819" s="78"/>
      <c r="J819" s="78"/>
    </row>
    <row r="820" spans="9:10">
      <c r="I820" s="78"/>
      <c r="J820" s="78"/>
    </row>
    <row r="821" spans="9:10">
      <c r="I821" s="78"/>
      <c r="J821" s="78"/>
    </row>
    <row r="822" spans="9:10">
      <c r="I822" s="78"/>
      <c r="J822" s="78"/>
    </row>
    <row r="823" spans="9:10">
      <c r="I823" s="78"/>
      <c r="J823" s="78"/>
    </row>
    <row r="824" spans="9:10">
      <c r="I824" s="78"/>
      <c r="J824" s="78"/>
    </row>
    <row r="825" spans="9:10">
      <c r="I825" s="78"/>
      <c r="J825" s="78"/>
    </row>
    <row r="826" spans="9:10">
      <c r="I826" s="78"/>
      <c r="J826" s="78"/>
    </row>
    <row r="827" spans="9:10">
      <c r="I827" s="78"/>
      <c r="J827" s="78"/>
    </row>
    <row r="828" spans="9:10">
      <c r="I828" s="78"/>
      <c r="J828" s="78"/>
    </row>
    <row r="829" spans="9:10">
      <c r="I829" s="78"/>
      <c r="J829" s="78"/>
    </row>
    <row r="830" spans="9:10">
      <c r="I830" s="78"/>
      <c r="J830" s="78"/>
    </row>
    <row r="831" spans="9:10">
      <c r="I831" s="78"/>
      <c r="J831" s="78"/>
    </row>
    <row r="832" spans="9:10">
      <c r="I832" s="78"/>
      <c r="J832" s="78"/>
    </row>
    <row r="833" spans="9:10">
      <c r="I833" s="78"/>
      <c r="J833" s="78"/>
    </row>
    <row r="834" spans="9:10">
      <c r="I834" s="78"/>
      <c r="J834" s="78"/>
    </row>
    <row r="835" spans="9:10">
      <c r="I835" s="78"/>
      <c r="J835" s="78"/>
    </row>
    <row r="836" spans="9:10">
      <c r="I836" s="78"/>
      <c r="J836" s="78"/>
    </row>
    <row r="837" spans="9:10">
      <c r="I837" s="78"/>
      <c r="J837" s="78"/>
    </row>
    <row r="838" spans="9:10">
      <c r="I838" s="78"/>
      <c r="J838" s="78"/>
    </row>
    <row r="839" spans="9:10">
      <c r="I839" s="78"/>
      <c r="J839" s="78"/>
    </row>
    <row r="840" spans="9:10">
      <c r="I840" s="78"/>
      <c r="J840" s="78"/>
    </row>
    <row r="841" spans="9:10">
      <c r="I841" s="78"/>
      <c r="J841" s="78"/>
    </row>
    <row r="842" spans="9:10">
      <c r="I842" s="78"/>
      <c r="J842" s="78"/>
    </row>
    <row r="843" spans="9:10">
      <c r="I843" s="78"/>
      <c r="J843" s="78"/>
    </row>
    <row r="844" spans="9:10">
      <c r="I844" s="78"/>
      <c r="J844" s="78"/>
    </row>
    <row r="845" spans="9:10">
      <c r="I845" s="78"/>
      <c r="J845" s="78"/>
    </row>
    <row r="846" spans="9:10">
      <c r="I846" s="78"/>
      <c r="J846" s="78"/>
    </row>
    <row r="847" spans="9:10">
      <c r="I847" s="78"/>
      <c r="J847" s="78"/>
    </row>
    <row r="848" spans="9:10">
      <c r="I848" s="78"/>
      <c r="J848" s="78"/>
    </row>
    <row r="849" spans="9:10">
      <c r="I849" s="78"/>
      <c r="J849" s="78"/>
    </row>
    <row r="850" spans="9:10">
      <c r="I850" s="78"/>
      <c r="J850" s="78"/>
    </row>
    <row r="851" spans="9:10">
      <c r="I851" s="78"/>
      <c r="J851" s="78"/>
    </row>
    <row r="852" spans="9:10">
      <c r="I852" s="78"/>
      <c r="J852" s="78"/>
    </row>
    <row r="853" spans="9:10">
      <c r="I853" s="78"/>
      <c r="J853" s="78"/>
    </row>
    <row r="854" spans="9:10">
      <c r="I854" s="78"/>
      <c r="J854" s="78"/>
    </row>
    <row r="855" spans="9:10">
      <c r="I855" s="78"/>
      <c r="J855" s="78"/>
    </row>
    <row r="856" spans="9:10">
      <c r="I856" s="78"/>
      <c r="J856" s="78"/>
    </row>
    <row r="857" spans="9:10">
      <c r="I857" s="78"/>
      <c r="J857" s="78"/>
    </row>
    <row r="858" spans="9:10">
      <c r="I858" s="78"/>
      <c r="J858" s="78"/>
    </row>
    <row r="859" spans="9:10">
      <c r="I859" s="78"/>
      <c r="J859" s="78"/>
    </row>
    <row r="860" spans="9:10">
      <c r="I860" s="78"/>
      <c r="J860" s="78"/>
    </row>
    <row r="861" spans="9:10">
      <c r="I861" s="78"/>
      <c r="J861" s="78"/>
    </row>
    <row r="862" spans="9:10">
      <c r="I862" s="78"/>
      <c r="J862" s="78"/>
    </row>
    <row r="863" spans="9:10">
      <c r="I863" s="78"/>
      <c r="J863" s="78"/>
    </row>
    <row r="864" spans="9:10">
      <c r="I864" s="78"/>
      <c r="J864" s="78"/>
    </row>
    <row r="865" spans="9:10">
      <c r="I865" s="78"/>
      <c r="J865" s="78"/>
    </row>
    <row r="866" spans="9:10">
      <c r="I866" s="78"/>
      <c r="J866" s="78"/>
    </row>
    <row r="867" spans="9:10">
      <c r="I867" s="78"/>
      <c r="J867" s="78"/>
    </row>
    <row r="868" spans="9:10">
      <c r="I868" s="78"/>
      <c r="J868" s="78"/>
    </row>
    <row r="869" spans="9:10">
      <c r="I869" s="78"/>
      <c r="J869" s="78"/>
    </row>
    <row r="870" spans="9:10">
      <c r="I870" s="78"/>
      <c r="J870" s="78"/>
    </row>
    <row r="871" spans="9:10">
      <c r="I871" s="78"/>
      <c r="J871" s="78"/>
    </row>
    <row r="872" spans="9:10">
      <c r="I872" s="78"/>
      <c r="J872" s="78"/>
    </row>
    <row r="873" spans="9:10">
      <c r="I873" s="78"/>
      <c r="J873" s="78"/>
    </row>
    <row r="874" spans="9:10">
      <c r="I874" s="78"/>
      <c r="J874" s="78"/>
    </row>
    <row r="875" spans="9:10">
      <c r="I875" s="78"/>
      <c r="J875" s="78"/>
    </row>
    <row r="876" spans="9:10">
      <c r="I876" s="78"/>
      <c r="J876" s="78"/>
    </row>
    <row r="877" spans="9:10">
      <c r="I877" s="78"/>
      <c r="J877" s="78"/>
    </row>
    <row r="878" spans="9:10">
      <c r="I878" s="78"/>
      <c r="J878" s="78"/>
    </row>
    <row r="879" spans="9:10">
      <c r="I879" s="78"/>
      <c r="J879" s="78"/>
    </row>
    <row r="880" spans="9:10">
      <c r="I880" s="78"/>
      <c r="J880" s="78"/>
    </row>
    <row r="881" spans="9:10">
      <c r="I881" s="78"/>
      <c r="J881" s="78"/>
    </row>
    <row r="882" spans="9:10">
      <c r="I882" s="78"/>
      <c r="J882" s="78"/>
    </row>
    <row r="883" spans="9:10">
      <c r="I883" s="78"/>
      <c r="J883" s="78"/>
    </row>
    <row r="884" spans="9:10">
      <c r="I884" s="78"/>
      <c r="J884" s="78"/>
    </row>
    <row r="885" spans="9:10">
      <c r="I885" s="78"/>
      <c r="J885" s="78"/>
    </row>
    <row r="886" spans="9:10">
      <c r="I886" s="78"/>
      <c r="J886" s="78"/>
    </row>
    <row r="887" spans="9:10">
      <c r="I887" s="78"/>
      <c r="J887" s="78"/>
    </row>
    <row r="888" spans="9:10">
      <c r="I888" s="78"/>
      <c r="J888" s="78"/>
    </row>
    <row r="889" spans="9:10">
      <c r="I889" s="78"/>
      <c r="J889" s="78"/>
    </row>
    <row r="890" spans="9:10">
      <c r="I890" s="78"/>
      <c r="J890" s="78"/>
    </row>
    <row r="891" spans="9:10">
      <c r="I891" s="78"/>
      <c r="J891" s="78"/>
    </row>
    <row r="892" spans="9:10">
      <c r="I892" s="78"/>
      <c r="J892" s="78"/>
    </row>
    <row r="893" spans="9:10">
      <c r="I893" s="78"/>
      <c r="J893" s="78"/>
    </row>
    <row r="894" spans="9:10">
      <c r="I894" s="78"/>
      <c r="J894" s="78"/>
    </row>
    <row r="895" spans="9:10">
      <c r="I895" s="78"/>
      <c r="J895" s="78"/>
    </row>
    <row r="896" spans="9:10">
      <c r="I896" s="78"/>
      <c r="J896" s="78"/>
    </row>
    <row r="897" spans="9:10">
      <c r="I897" s="78"/>
      <c r="J897" s="78"/>
    </row>
    <row r="898" spans="9:10">
      <c r="I898" s="78"/>
      <c r="J898" s="78"/>
    </row>
    <row r="899" spans="9:10">
      <c r="I899" s="78"/>
      <c r="J899" s="78"/>
    </row>
    <row r="900" spans="9:10">
      <c r="I900" s="78"/>
      <c r="J900" s="78"/>
    </row>
    <row r="901" spans="9:10">
      <c r="I901" s="78"/>
      <c r="J901" s="78"/>
    </row>
    <row r="902" spans="9:10">
      <c r="I902" s="78"/>
      <c r="J902" s="78"/>
    </row>
    <row r="903" spans="9:10">
      <c r="I903" s="78"/>
      <c r="J903" s="78"/>
    </row>
    <row r="904" spans="9:10">
      <c r="I904" s="78"/>
      <c r="J904" s="78"/>
    </row>
    <row r="905" spans="9:10">
      <c r="I905" s="78"/>
      <c r="J905" s="78"/>
    </row>
    <row r="906" spans="9:10">
      <c r="I906" s="78"/>
      <c r="J906" s="78"/>
    </row>
    <row r="907" spans="9:10">
      <c r="I907" s="78"/>
      <c r="J907" s="78"/>
    </row>
    <row r="908" spans="9:10">
      <c r="I908" s="78"/>
      <c r="J908" s="78"/>
    </row>
    <row r="909" spans="9:10">
      <c r="I909" s="78"/>
      <c r="J909" s="78"/>
    </row>
    <row r="910" spans="9:10">
      <c r="I910" s="78"/>
      <c r="J910" s="78"/>
    </row>
    <row r="911" spans="9:10">
      <c r="I911" s="78"/>
      <c r="J911" s="78"/>
    </row>
    <row r="912" spans="9:10">
      <c r="I912" s="78"/>
      <c r="J912" s="78"/>
    </row>
    <row r="913" spans="9:10">
      <c r="I913" s="78"/>
      <c r="J913" s="78"/>
    </row>
    <row r="914" spans="9:10">
      <c r="I914" s="78"/>
      <c r="J914" s="78"/>
    </row>
    <row r="915" spans="9:10">
      <c r="I915" s="78"/>
      <c r="J915" s="78"/>
    </row>
    <row r="916" spans="9:10">
      <c r="I916" s="78"/>
      <c r="J916" s="78"/>
    </row>
    <row r="917" spans="9:10">
      <c r="I917" s="78"/>
      <c r="J917" s="78"/>
    </row>
    <row r="918" spans="9:10">
      <c r="I918" s="78"/>
      <c r="J918" s="78"/>
    </row>
    <row r="919" spans="9:10">
      <c r="I919" s="78"/>
      <c r="J919" s="78"/>
    </row>
    <row r="920" spans="9:10">
      <c r="I920" s="78"/>
      <c r="J920" s="78"/>
    </row>
    <row r="921" spans="9:10">
      <c r="I921" s="78"/>
      <c r="J921" s="78"/>
    </row>
    <row r="922" spans="9:10">
      <c r="I922" s="78"/>
      <c r="J922" s="78"/>
    </row>
    <row r="923" spans="9:10">
      <c r="I923" s="78"/>
      <c r="J923" s="78"/>
    </row>
    <row r="924" spans="9:10">
      <c r="I924" s="78"/>
      <c r="J924" s="78"/>
    </row>
    <row r="925" spans="9:10">
      <c r="I925" s="78"/>
      <c r="J925" s="78"/>
    </row>
    <row r="926" spans="9:10">
      <c r="I926" s="78"/>
      <c r="J926" s="78"/>
    </row>
    <row r="927" spans="9:10">
      <c r="I927" s="78"/>
      <c r="J927" s="78"/>
    </row>
    <row r="928" spans="9:10">
      <c r="I928" s="78"/>
      <c r="J928" s="78"/>
    </row>
    <row r="929" spans="9:10">
      <c r="I929" s="78"/>
      <c r="J929" s="78"/>
    </row>
    <row r="930" spans="9:10">
      <c r="I930" s="78"/>
      <c r="J930" s="78"/>
    </row>
    <row r="931" spans="9:10">
      <c r="I931" s="78"/>
      <c r="J931" s="78"/>
    </row>
    <row r="932" spans="9:10">
      <c r="I932" s="78"/>
      <c r="J932" s="78"/>
    </row>
    <row r="933" spans="9:10">
      <c r="I933" s="78"/>
      <c r="J933" s="78"/>
    </row>
    <row r="934" spans="9:10">
      <c r="I934" s="78"/>
      <c r="J934" s="78"/>
    </row>
    <row r="935" spans="9:10">
      <c r="I935" s="78"/>
      <c r="J935" s="78"/>
    </row>
    <row r="936" spans="9:10">
      <c r="I936" s="78"/>
      <c r="J936" s="78"/>
    </row>
    <row r="937" spans="9:10">
      <c r="I937" s="78"/>
      <c r="J937" s="78"/>
    </row>
    <row r="938" spans="9:10">
      <c r="I938" s="78"/>
      <c r="J938" s="78"/>
    </row>
    <row r="939" spans="9:10">
      <c r="I939" s="78"/>
      <c r="J939" s="78"/>
    </row>
    <row r="940" spans="9:10">
      <c r="I940" s="78"/>
      <c r="J940" s="78"/>
    </row>
    <row r="941" spans="9:10">
      <c r="I941" s="78"/>
      <c r="J941" s="78"/>
    </row>
    <row r="942" spans="9:10">
      <c r="I942" s="78"/>
      <c r="J942" s="78"/>
    </row>
    <row r="943" spans="9:10">
      <c r="I943" s="78"/>
      <c r="J943" s="78"/>
    </row>
    <row r="944" spans="9:10">
      <c r="I944" s="78"/>
      <c r="J944" s="78"/>
    </row>
    <row r="945" spans="9:10">
      <c r="I945" s="78"/>
      <c r="J945" s="78"/>
    </row>
    <row r="946" spans="9:10">
      <c r="I946" s="78"/>
      <c r="J946" s="78"/>
    </row>
    <row r="947" spans="9:10">
      <c r="I947" s="78"/>
      <c r="J947" s="78"/>
    </row>
    <row r="948" spans="9:10">
      <c r="I948" s="78"/>
      <c r="J948" s="78"/>
    </row>
    <row r="949" spans="9:10">
      <c r="I949" s="78"/>
      <c r="J949" s="78"/>
    </row>
    <row r="950" spans="9:10">
      <c r="I950" s="78"/>
      <c r="J950" s="78"/>
    </row>
    <row r="951" spans="9:10">
      <c r="I951" s="78"/>
      <c r="J951" s="78"/>
    </row>
    <row r="952" spans="9:10">
      <c r="I952" s="78"/>
      <c r="J952" s="78"/>
    </row>
    <row r="953" spans="9:10">
      <c r="I953" s="78"/>
      <c r="J953" s="78"/>
    </row>
    <row r="954" spans="9:10">
      <c r="I954" s="78"/>
      <c r="J954" s="78"/>
    </row>
    <row r="955" spans="9:10">
      <c r="I955" s="78"/>
      <c r="J955" s="78"/>
    </row>
    <row r="956" spans="9:10">
      <c r="I956" s="78"/>
      <c r="J956" s="78"/>
    </row>
    <row r="957" spans="9:10">
      <c r="I957" s="78"/>
      <c r="J957" s="78"/>
    </row>
    <row r="958" spans="9:10">
      <c r="I958" s="78"/>
      <c r="J958" s="78"/>
    </row>
    <row r="959" spans="9:10">
      <c r="I959" s="78"/>
      <c r="J959" s="78"/>
    </row>
    <row r="960" spans="9:10">
      <c r="I960" s="78"/>
      <c r="J960" s="78"/>
    </row>
    <row r="961" spans="9:10">
      <c r="I961" s="78"/>
      <c r="J961" s="78"/>
    </row>
    <row r="962" spans="9:10">
      <c r="I962" s="78"/>
      <c r="J962" s="78"/>
    </row>
    <row r="963" spans="9:10">
      <c r="I963" s="78"/>
      <c r="J963" s="78"/>
    </row>
    <row r="964" spans="9:10">
      <c r="I964" s="78"/>
      <c r="J964" s="78"/>
    </row>
    <row r="965" spans="9:10">
      <c r="I965" s="78"/>
      <c r="J965" s="78"/>
    </row>
    <row r="966" spans="9:10">
      <c r="I966" s="78"/>
      <c r="J966" s="78"/>
    </row>
    <row r="967" spans="9:10">
      <c r="I967" s="78"/>
      <c r="J967" s="78"/>
    </row>
    <row r="968" spans="9:10">
      <c r="I968" s="78"/>
      <c r="J968" s="78"/>
    </row>
    <row r="969" spans="9:10">
      <c r="I969" s="78"/>
      <c r="J969" s="78"/>
    </row>
    <row r="970" spans="9:10">
      <c r="I970" s="78"/>
      <c r="J970" s="78"/>
    </row>
    <row r="971" spans="9:10">
      <c r="I971" s="78"/>
      <c r="J971" s="78"/>
    </row>
    <row r="972" spans="9:10">
      <c r="I972" s="78"/>
      <c r="J972" s="78"/>
    </row>
    <row r="973" spans="9:10">
      <c r="I973" s="78"/>
      <c r="J973" s="78"/>
    </row>
    <row r="974" spans="9:10">
      <c r="I974" s="78"/>
      <c r="J974" s="78"/>
    </row>
    <row r="975" spans="9:10">
      <c r="I975" s="78"/>
      <c r="J975" s="78"/>
    </row>
    <row r="976" spans="9:10">
      <c r="I976" s="78"/>
      <c r="J976" s="78"/>
    </row>
    <row r="977" spans="9:10">
      <c r="I977" s="78"/>
      <c r="J977" s="78"/>
    </row>
    <row r="978" spans="9:10">
      <c r="I978" s="78"/>
      <c r="J978" s="78"/>
    </row>
    <row r="979" spans="9:10">
      <c r="I979" s="78"/>
      <c r="J979" s="78"/>
    </row>
    <row r="980" spans="9:10">
      <c r="I980" s="78"/>
      <c r="J980" s="78"/>
    </row>
    <row r="981" spans="9:10">
      <c r="I981" s="78"/>
      <c r="J981" s="78"/>
    </row>
    <row r="982" spans="9:10">
      <c r="I982" s="78"/>
      <c r="J982" s="78"/>
    </row>
    <row r="983" spans="9:10">
      <c r="I983" s="78"/>
      <c r="J983" s="78"/>
    </row>
    <row r="984" spans="9:10">
      <c r="I984" s="78"/>
      <c r="J984" s="78"/>
    </row>
    <row r="985" spans="9:10">
      <c r="I985" s="78"/>
      <c r="J985" s="78"/>
    </row>
    <row r="986" spans="9:10">
      <c r="I986" s="78"/>
      <c r="J986" s="78"/>
    </row>
    <row r="987" spans="9:10">
      <c r="I987" s="78"/>
      <c r="J987" s="78"/>
    </row>
    <row r="988" spans="9:10">
      <c r="I988" s="78"/>
      <c r="J988" s="78"/>
    </row>
    <row r="989" spans="9:10">
      <c r="I989" s="78"/>
      <c r="J989" s="78"/>
    </row>
    <row r="990" spans="9:10">
      <c r="I990" s="78"/>
      <c r="J990" s="78"/>
    </row>
    <row r="991" spans="9:10">
      <c r="I991" s="78"/>
      <c r="J991" s="78"/>
    </row>
    <row r="992" spans="9:10">
      <c r="I992" s="78"/>
      <c r="J992" s="78"/>
    </row>
    <row r="993" spans="9:10">
      <c r="I993" s="78"/>
      <c r="J993" s="78"/>
    </row>
    <row r="994" spans="9:10">
      <c r="I994" s="78"/>
      <c r="J994" s="78"/>
    </row>
    <row r="995" spans="9:10">
      <c r="I995" s="78"/>
      <c r="J995" s="78"/>
    </row>
    <row r="996" spans="9:10">
      <c r="I996" s="78"/>
      <c r="J996" s="78"/>
    </row>
    <row r="997" spans="9:10">
      <c r="I997" s="78"/>
      <c r="J997" s="78"/>
    </row>
    <row r="998" spans="9:10">
      <c r="I998" s="78"/>
      <c r="J998" s="78"/>
    </row>
    <row r="999" spans="9:10">
      <c r="I999" s="78"/>
      <c r="J999" s="78"/>
    </row>
    <row r="1000" spans="9:10">
      <c r="I1000" s="78"/>
      <c r="J1000" s="78"/>
    </row>
  </sheetData>
  <mergeCells count="10">
    <mergeCell ref="O3:P3"/>
    <mergeCell ref="Q3:S3"/>
    <mergeCell ref="T3:U3"/>
    <mergeCell ref="A36:F36"/>
    <mergeCell ref="A1:H1"/>
    <mergeCell ref="A2:G2"/>
    <mergeCell ref="A3:G3"/>
    <mergeCell ref="I3:J3"/>
    <mergeCell ref="K3:L3"/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6545-CA0D-4021-AF76-A00030C2D9CF}">
  <dimension ref="A1:W1000"/>
  <sheetViews>
    <sheetView topLeftCell="J15" workbookViewId="0">
      <selection activeCell="N38" sqref="N38"/>
    </sheetView>
  </sheetViews>
  <sheetFormatPr defaultColWidth="14.44140625" defaultRowHeight="14.4"/>
  <cols>
    <col min="2" max="2" width="16.5546875" bestFit="1" customWidth="1"/>
    <col min="3" max="3" width="25" bestFit="1" customWidth="1"/>
    <col min="4" max="4" width="17.33203125" bestFit="1" customWidth="1"/>
    <col min="5" max="7" width="14.44140625" hidden="1" customWidth="1"/>
    <col min="8" max="8" width="0.109375" customWidth="1"/>
    <col min="9" max="10" width="14.44140625" customWidth="1"/>
    <col min="11" max="12" width="14.44140625" style="46" customWidth="1"/>
    <col min="13" max="16" width="14.44140625" style="46"/>
    <col min="20" max="20" width="14.44140625" style="60"/>
    <col min="21" max="21" width="14.44140625" style="61"/>
  </cols>
  <sheetData>
    <row r="1" spans="1:23" ht="15" customHeight="1">
      <c r="A1" s="87" t="s">
        <v>0</v>
      </c>
      <c r="B1" s="88"/>
      <c r="C1" s="88"/>
      <c r="D1" s="88"/>
      <c r="E1" s="88"/>
      <c r="F1" s="88"/>
      <c r="G1" s="88"/>
      <c r="H1" s="88"/>
      <c r="I1" s="1"/>
      <c r="J1" s="1"/>
      <c r="K1" s="2"/>
      <c r="L1" s="2"/>
      <c r="M1" s="2"/>
      <c r="N1" s="2"/>
      <c r="O1" s="2"/>
      <c r="P1" s="2"/>
      <c r="Q1" s="1"/>
      <c r="R1" s="1"/>
      <c r="S1" s="1"/>
      <c r="T1" s="58"/>
      <c r="U1" s="59"/>
      <c r="V1" s="1"/>
    </row>
    <row r="2" spans="1:23" ht="15.6">
      <c r="A2" s="89" t="s">
        <v>93</v>
      </c>
      <c r="B2" s="90"/>
      <c r="C2" s="90"/>
      <c r="D2" s="90"/>
      <c r="E2" s="90"/>
      <c r="F2" s="90"/>
      <c r="G2" s="91"/>
      <c r="H2" s="5"/>
      <c r="I2" s="6"/>
      <c r="J2" s="6"/>
      <c r="K2" s="7"/>
      <c r="L2" s="7"/>
      <c r="M2" s="7"/>
      <c r="N2" s="7"/>
      <c r="O2" s="7"/>
      <c r="P2" s="7"/>
      <c r="Q2" s="6"/>
      <c r="R2" s="6"/>
      <c r="S2" s="6"/>
      <c r="T2" s="58"/>
      <c r="U2" s="59"/>
      <c r="V2" s="1"/>
    </row>
    <row r="3" spans="1:23" ht="15.6">
      <c r="A3" s="92" t="s">
        <v>94</v>
      </c>
      <c r="B3" s="93"/>
      <c r="C3" s="93"/>
      <c r="D3" s="93"/>
      <c r="E3" s="93"/>
      <c r="F3" s="93"/>
      <c r="G3" s="94"/>
      <c r="H3" s="5"/>
      <c r="I3" s="81" t="s">
        <v>3</v>
      </c>
      <c r="J3" s="83"/>
      <c r="K3" s="79" t="s">
        <v>4</v>
      </c>
      <c r="L3" s="80"/>
      <c r="M3" s="79" t="s">
        <v>5</v>
      </c>
      <c r="N3" s="80"/>
      <c r="O3" s="79" t="s">
        <v>6</v>
      </c>
      <c r="P3" s="80"/>
      <c r="Q3" s="81" t="s">
        <v>7</v>
      </c>
      <c r="R3" s="82"/>
      <c r="S3" s="83"/>
      <c r="T3" s="81" t="s">
        <v>8</v>
      </c>
      <c r="U3" s="82"/>
      <c r="V3" s="1"/>
    </row>
    <row r="4" spans="1:23" s="14" customFormat="1" ht="15.6">
      <c r="A4" s="8" t="s">
        <v>9</v>
      </c>
      <c r="B4" s="8" t="s">
        <v>10</v>
      </c>
      <c r="C4" s="8" t="s">
        <v>11</v>
      </c>
      <c r="D4" s="8" t="s">
        <v>12</v>
      </c>
      <c r="E4" s="8"/>
      <c r="F4" s="8" t="s">
        <v>14</v>
      </c>
      <c r="G4" s="9" t="s">
        <v>15</v>
      </c>
      <c r="H4" s="10"/>
      <c r="I4" s="51" t="s">
        <v>16</v>
      </c>
      <c r="J4" s="51" t="s">
        <v>17</v>
      </c>
      <c r="K4" s="52" t="s">
        <v>16</v>
      </c>
      <c r="L4" s="52" t="s">
        <v>17</v>
      </c>
      <c r="M4" s="52" t="s">
        <v>16</v>
      </c>
      <c r="N4" s="52" t="s">
        <v>17</v>
      </c>
      <c r="O4" s="52" t="s">
        <v>16</v>
      </c>
      <c r="P4" s="52" t="s">
        <v>17</v>
      </c>
      <c r="Q4" s="51" t="s">
        <v>16</v>
      </c>
      <c r="R4" s="51" t="s">
        <v>18</v>
      </c>
      <c r="S4" s="11" t="s">
        <v>17</v>
      </c>
      <c r="T4" s="12" t="s">
        <v>16</v>
      </c>
      <c r="U4" s="48" t="s">
        <v>18</v>
      </c>
      <c r="V4" s="13"/>
    </row>
    <row r="5" spans="1:23" ht="15" customHeight="1">
      <c r="A5" s="15">
        <v>1</v>
      </c>
      <c r="B5" s="16" t="s">
        <v>19</v>
      </c>
      <c r="C5" s="16" t="s">
        <v>20</v>
      </c>
      <c r="D5" s="17" t="s">
        <v>21</v>
      </c>
      <c r="E5" s="18">
        <v>14</v>
      </c>
      <c r="F5" s="18">
        <v>680</v>
      </c>
      <c r="G5" s="19">
        <v>57980</v>
      </c>
      <c r="H5" s="20"/>
      <c r="I5" s="55"/>
      <c r="J5" s="55"/>
      <c r="K5" s="55">
        <v>2185</v>
      </c>
      <c r="L5" s="55">
        <v>23</v>
      </c>
      <c r="M5" s="55">
        <v>1900</v>
      </c>
      <c r="N5" s="55">
        <v>20</v>
      </c>
      <c r="O5" s="55">
        <v>855</v>
      </c>
      <c r="P5" s="55">
        <v>9</v>
      </c>
      <c r="Q5" s="55">
        <f t="shared" ref="Q5:Q35" si="0">I5+K5+M5+O5</f>
        <v>4940</v>
      </c>
      <c r="R5" s="56">
        <f>Q5-Q5*12/112</f>
        <v>4410.7142857142853</v>
      </c>
      <c r="S5" s="50">
        <f t="shared" ref="S5:S35" si="1">J5+L5+N5+P5</f>
        <v>52</v>
      </c>
      <c r="T5" s="21">
        <v>353960</v>
      </c>
      <c r="U5" s="25">
        <v>300400.96428571426</v>
      </c>
      <c r="V5" s="1">
        <f>T5+Q5</f>
        <v>358900</v>
      </c>
      <c r="W5" s="49">
        <f>U5+R5</f>
        <v>304811.67857142852</v>
      </c>
    </row>
    <row r="6" spans="1:23" ht="15" customHeight="1">
      <c r="A6" s="15">
        <v>2</v>
      </c>
      <c r="B6" s="16" t="s">
        <v>22</v>
      </c>
      <c r="C6" s="16" t="s">
        <v>23</v>
      </c>
      <c r="D6" s="17" t="s">
        <v>21</v>
      </c>
      <c r="E6" s="18">
        <v>14</v>
      </c>
      <c r="F6" s="18">
        <v>428</v>
      </c>
      <c r="G6" s="19">
        <v>57840</v>
      </c>
      <c r="H6" s="20"/>
      <c r="I6" s="55">
        <v>2850</v>
      </c>
      <c r="J6" s="55">
        <v>33</v>
      </c>
      <c r="K6" s="55">
        <v>3650</v>
      </c>
      <c r="L6" s="55">
        <v>37</v>
      </c>
      <c r="M6" s="55">
        <v>2150</v>
      </c>
      <c r="N6" s="55">
        <v>25</v>
      </c>
      <c r="O6" s="55">
        <v>2280</v>
      </c>
      <c r="P6" s="55">
        <v>24</v>
      </c>
      <c r="Q6" s="55">
        <f t="shared" si="0"/>
        <v>10930</v>
      </c>
      <c r="R6" s="56">
        <f t="shared" ref="R6:R35" si="2">Q6-Q6*12/112</f>
        <v>9758.9285714285706</v>
      </c>
      <c r="S6" s="50">
        <f t="shared" si="1"/>
        <v>119</v>
      </c>
      <c r="T6" s="21">
        <v>295845</v>
      </c>
      <c r="U6" s="25">
        <v>250085.28571428574</v>
      </c>
      <c r="V6" s="1">
        <f t="shared" ref="V6:V35" si="3">T6+Q6</f>
        <v>306775</v>
      </c>
      <c r="W6" s="49">
        <f t="shared" ref="W6:W35" si="4">U6+R6</f>
        <v>259844.21428571432</v>
      </c>
    </row>
    <row r="7" spans="1:23" ht="15" customHeight="1">
      <c r="A7" s="15">
        <v>3</v>
      </c>
      <c r="B7" s="24" t="s">
        <v>24</v>
      </c>
      <c r="C7" s="16" t="s">
        <v>25</v>
      </c>
      <c r="D7" s="17" t="s">
        <v>21</v>
      </c>
      <c r="E7" s="18">
        <v>14</v>
      </c>
      <c r="F7" s="18">
        <v>452</v>
      </c>
      <c r="G7" s="19">
        <v>45200</v>
      </c>
      <c r="H7" s="20"/>
      <c r="I7" s="55">
        <v>2850</v>
      </c>
      <c r="J7" s="55">
        <v>30</v>
      </c>
      <c r="K7" s="55">
        <v>1805</v>
      </c>
      <c r="L7" s="55">
        <v>19</v>
      </c>
      <c r="M7" s="55">
        <v>1615</v>
      </c>
      <c r="N7" s="55">
        <v>17</v>
      </c>
      <c r="O7" s="55">
        <v>1235</v>
      </c>
      <c r="P7" s="55">
        <v>13</v>
      </c>
      <c r="Q7" s="55">
        <f t="shared" si="0"/>
        <v>7505</v>
      </c>
      <c r="R7" s="56">
        <f t="shared" si="2"/>
        <v>6700.8928571428569</v>
      </c>
      <c r="S7" s="50">
        <f t="shared" si="1"/>
        <v>79</v>
      </c>
      <c r="T7" s="21">
        <v>162115</v>
      </c>
      <c r="U7" s="25">
        <v>134998.10714285713</v>
      </c>
      <c r="V7" s="1">
        <f t="shared" si="3"/>
        <v>169620</v>
      </c>
      <c r="W7" s="49">
        <f t="shared" si="4"/>
        <v>141699</v>
      </c>
    </row>
    <row r="8" spans="1:23" ht="15" customHeight="1">
      <c r="A8" s="15">
        <v>4</v>
      </c>
      <c r="B8" s="24" t="s">
        <v>26</v>
      </c>
      <c r="C8" s="16" t="s">
        <v>27</v>
      </c>
      <c r="D8" s="17" t="s">
        <v>28</v>
      </c>
      <c r="E8" s="16">
        <v>5</v>
      </c>
      <c r="F8" s="18">
        <v>764</v>
      </c>
      <c r="G8" s="19">
        <v>94330</v>
      </c>
      <c r="H8" s="20"/>
      <c r="I8" s="55">
        <v>1730</v>
      </c>
      <c r="J8" s="55">
        <v>14</v>
      </c>
      <c r="K8" s="55">
        <v>1195</v>
      </c>
      <c r="L8" s="55">
        <v>11</v>
      </c>
      <c r="M8" s="55">
        <v>3125</v>
      </c>
      <c r="N8" s="55">
        <v>25</v>
      </c>
      <c r="O8" s="55">
        <v>2900</v>
      </c>
      <c r="P8" s="55">
        <v>20</v>
      </c>
      <c r="Q8" s="55">
        <f t="shared" si="0"/>
        <v>8950</v>
      </c>
      <c r="R8" s="56">
        <f t="shared" si="2"/>
        <v>7991.0714285714284</v>
      </c>
      <c r="S8" s="50">
        <f t="shared" si="1"/>
        <v>70</v>
      </c>
      <c r="T8" s="21">
        <v>439355</v>
      </c>
      <c r="U8" s="25">
        <v>378198.0357142858</v>
      </c>
      <c r="V8" s="1">
        <f t="shared" si="3"/>
        <v>448305</v>
      </c>
      <c r="W8" s="49">
        <f t="shared" si="4"/>
        <v>386189.10714285722</v>
      </c>
    </row>
    <row r="9" spans="1:23" ht="15" customHeight="1">
      <c r="A9" s="15">
        <v>5</v>
      </c>
      <c r="B9" s="24" t="s">
        <v>29</v>
      </c>
      <c r="C9" s="16" t="s">
        <v>30</v>
      </c>
      <c r="D9" s="17" t="s">
        <v>21</v>
      </c>
      <c r="E9" s="16">
        <v>5</v>
      </c>
      <c r="F9" s="18">
        <v>320</v>
      </c>
      <c r="G9" s="19">
        <v>46400</v>
      </c>
      <c r="H9" s="20"/>
      <c r="I9" s="55">
        <v>2565</v>
      </c>
      <c r="J9" s="55">
        <v>27</v>
      </c>
      <c r="K9" s="55">
        <v>1717</v>
      </c>
      <c r="L9" s="55">
        <v>18</v>
      </c>
      <c r="M9" s="55">
        <v>1615</v>
      </c>
      <c r="N9" s="55">
        <v>17</v>
      </c>
      <c r="O9" s="55">
        <v>1520</v>
      </c>
      <c r="P9" s="55">
        <v>16</v>
      </c>
      <c r="Q9" s="55">
        <f t="shared" si="0"/>
        <v>7417</v>
      </c>
      <c r="R9" s="56">
        <f t="shared" si="2"/>
        <v>6622.3214285714284</v>
      </c>
      <c r="S9" s="50">
        <f t="shared" si="1"/>
        <v>78</v>
      </c>
      <c r="T9" s="21">
        <v>137949</v>
      </c>
      <c r="U9" s="25">
        <v>125584.99999999999</v>
      </c>
      <c r="V9" s="1">
        <f t="shared" si="3"/>
        <v>145366</v>
      </c>
      <c r="W9" s="49">
        <f t="shared" si="4"/>
        <v>132207.32142857142</v>
      </c>
    </row>
    <row r="10" spans="1:23" ht="15" customHeight="1">
      <c r="A10" s="15">
        <v>6</v>
      </c>
      <c r="B10" s="26" t="s">
        <v>31</v>
      </c>
      <c r="C10" s="16" t="s">
        <v>32</v>
      </c>
      <c r="D10" s="17" t="s">
        <v>33</v>
      </c>
      <c r="E10" s="16">
        <v>5</v>
      </c>
      <c r="F10" s="18">
        <v>410</v>
      </c>
      <c r="G10" s="19">
        <v>60270</v>
      </c>
      <c r="H10" s="20"/>
      <c r="I10" s="55">
        <v>970</v>
      </c>
      <c r="J10" s="55">
        <v>10</v>
      </c>
      <c r="K10" s="55">
        <v>873</v>
      </c>
      <c r="L10" s="55">
        <v>9</v>
      </c>
      <c r="M10" s="55">
        <v>1065</v>
      </c>
      <c r="N10" s="55">
        <v>11</v>
      </c>
      <c r="O10" s="55">
        <v>0</v>
      </c>
      <c r="P10" s="55">
        <v>0</v>
      </c>
      <c r="Q10" s="55">
        <f t="shared" si="0"/>
        <v>2908</v>
      </c>
      <c r="R10" s="56">
        <f t="shared" si="2"/>
        <v>2596.4285714285716</v>
      </c>
      <c r="S10" s="50">
        <f t="shared" si="1"/>
        <v>30</v>
      </c>
      <c r="T10" s="21">
        <v>116427</v>
      </c>
      <c r="U10" s="25">
        <v>98450.67857142858</v>
      </c>
      <c r="V10" s="1">
        <f t="shared" si="3"/>
        <v>119335</v>
      </c>
      <c r="W10" s="49">
        <f t="shared" si="4"/>
        <v>101047.10714285714</v>
      </c>
    </row>
    <row r="11" spans="1:23" ht="15" customHeight="1">
      <c r="A11" s="15">
        <v>7</v>
      </c>
      <c r="B11" s="24" t="s">
        <v>34</v>
      </c>
      <c r="C11" s="16" t="s">
        <v>35</v>
      </c>
      <c r="D11" s="17" t="s">
        <v>28</v>
      </c>
      <c r="E11" s="16">
        <v>5</v>
      </c>
      <c r="F11" s="18">
        <v>414</v>
      </c>
      <c r="G11" s="19">
        <v>49630</v>
      </c>
      <c r="H11" s="20"/>
      <c r="I11" s="55">
        <v>0</v>
      </c>
      <c r="J11" s="55">
        <v>0</v>
      </c>
      <c r="K11" s="55">
        <v>1050</v>
      </c>
      <c r="L11" s="55">
        <v>10</v>
      </c>
      <c r="M11" s="55">
        <v>735</v>
      </c>
      <c r="N11" s="55">
        <v>7</v>
      </c>
      <c r="O11" s="55"/>
      <c r="P11" s="55"/>
      <c r="Q11" s="55">
        <f t="shared" si="0"/>
        <v>1785</v>
      </c>
      <c r="R11" s="56">
        <f t="shared" si="2"/>
        <v>1593.75</v>
      </c>
      <c r="S11" s="50">
        <f t="shared" si="1"/>
        <v>17</v>
      </c>
      <c r="T11" s="21">
        <v>235435</v>
      </c>
      <c r="U11" s="25">
        <v>201435.96428571432</v>
      </c>
      <c r="V11" s="1">
        <f t="shared" si="3"/>
        <v>237220</v>
      </c>
      <c r="W11" s="49">
        <f t="shared" si="4"/>
        <v>203029.71428571432</v>
      </c>
    </row>
    <row r="12" spans="1:23" ht="15" customHeight="1">
      <c r="A12" s="15">
        <v>8</v>
      </c>
      <c r="B12" s="24" t="s">
        <v>24</v>
      </c>
      <c r="C12" s="16" t="s">
        <v>36</v>
      </c>
      <c r="D12" s="17" t="s">
        <v>37</v>
      </c>
      <c r="E12" s="16">
        <v>5</v>
      </c>
      <c r="F12" s="18">
        <v>312</v>
      </c>
      <c r="G12" s="19">
        <v>45240</v>
      </c>
      <c r="H12" s="20"/>
      <c r="I12" s="55">
        <v>760</v>
      </c>
      <c r="J12" s="55">
        <v>8</v>
      </c>
      <c r="K12" s="55">
        <v>665</v>
      </c>
      <c r="L12" s="55">
        <v>7</v>
      </c>
      <c r="M12" s="55">
        <v>475</v>
      </c>
      <c r="N12" s="55">
        <v>5</v>
      </c>
      <c r="O12" s="55">
        <v>760</v>
      </c>
      <c r="P12" s="55">
        <v>8</v>
      </c>
      <c r="Q12" s="55">
        <f t="shared" si="0"/>
        <v>2660</v>
      </c>
      <c r="R12" s="56">
        <f t="shared" si="2"/>
        <v>2375</v>
      </c>
      <c r="S12" s="50">
        <f t="shared" si="1"/>
        <v>28</v>
      </c>
      <c r="T12" s="21">
        <v>171665</v>
      </c>
      <c r="U12" s="25">
        <v>147434.07142857145</v>
      </c>
      <c r="V12" s="1">
        <f t="shared" si="3"/>
        <v>174325</v>
      </c>
      <c r="W12" s="49">
        <f t="shared" si="4"/>
        <v>149809.07142857145</v>
      </c>
    </row>
    <row r="13" spans="1:23" ht="15" customHeight="1">
      <c r="A13" s="15">
        <v>9</v>
      </c>
      <c r="B13" s="24" t="s">
        <v>38</v>
      </c>
      <c r="C13" s="16" t="s">
        <v>39</v>
      </c>
      <c r="D13" s="17" t="s">
        <v>33</v>
      </c>
      <c r="E13" s="16">
        <v>5</v>
      </c>
      <c r="F13" s="18">
        <v>310</v>
      </c>
      <c r="G13" s="19">
        <v>44950</v>
      </c>
      <c r="H13" s="20"/>
      <c r="I13" s="55">
        <v>475</v>
      </c>
      <c r="J13" s="55">
        <v>5</v>
      </c>
      <c r="K13" s="55">
        <v>950</v>
      </c>
      <c r="L13" s="55">
        <v>10</v>
      </c>
      <c r="M13" s="55">
        <v>760</v>
      </c>
      <c r="N13" s="55">
        <v>8</v>
      </c>
      <c r="O13" s="55">
        <v>475</v>
      </c>
      <c r="P13" s="55">
        <v>5</v>
      </c>
      <c r="Q13" s="55">
        <f t="shared" si="0"/>
        <v>2660</v>
      </c>
      <c r="R13" s="56">
        <f t="shared" si="2"/>
        <v>2375</v>
      </c>
      <c r="S13" s="50">
        <f t="shared" si="1"/>
        <v>28</v>
      </c>
      <c r="T13" s="21">
        <v>181065</v>
      </c>
      <c r="U13" s="25">
        <v>154266.17857142858</v>
      </c>
      <c r="V13" s="1">
        <f t="shared" si="3"/>
        <v>183725</v>
      </c>
      <c r="W13" s="49">
        <f t="shared" si="4"/>
        <v>156641.17857142858</v>
      </c>
    </row>
    <row r="14" spans="1:23" s="37" customFormat="1" ht="15" customHeight="1">
      <c r="A14" s="27">
        <v>10</v>
      </c>
      <c r="B14" s="24" t="s">
        <v>40</v>
      </c>
      <c r="C14" s="28" t="s">
        <v>41</v>
      </c>
      <c r="D14" s="29" t="s">
        <v>33</v>
      </c>
      <c r="E14" s="16">
        <v>5</v>
      </c>
      <c r="F14" s="30">
        <v>458</v>
      </c>
      <c r="G14" s="31">
        <v>43510</v>
      </c>
      <c r="H14" s="32"/>
      <c r="I14" s="57">
        <v>950</v>
      </c>
      <c r="J14" s="57">
        <v>10</v>
      </c>
      <c r="K14" s="57">
        <v>1710</v>
      </c>
      <c r="L14" s="57">
        <v>18</v>
      </c>
      <c r="M14" s="57"/>
      <c r="N14" s="57"/>
      <c r="O14" s="57">
        <v>7</v>
      </c>
      <c r="P14" s="57"/>
      <c r="Q14" s="55">
        <f t="shared" si="0"/>
        <v>2667</v>
      </c>
      <c r="R14" s="56">
        <f t="shared" si="2"/>
        <v>2381.25</v>
      </c>
      <c r="S14" s="50">
        <f t="shared" si="1"/>
        <v>28</v>
      </c>
      <c r="T14" s="21">
        <v>142262</v>
      </c>
      <c r="U14" s="25">
        <v>132186.07142857142</v>
      </c>
      <c r="V14" s="1">
        <f t="shared" si="3"/>
        <v>144929</v>
      </c>
      <c r="W14" s="49">
        <f t="shared" si="4"/>
        <v>134567.32142857142</v>
      </c>
    </row>
    <row r="15" spans="1:23" s="37" customFormat="1" ht="15" customHeight="1">
      <c r="A15" s="27">
        <v>11</v>
      </c>
      <c r="B15" s="24" t="s">
        <v>42</v>
      </c>
      <c r="C15" s="28" t="s">
        <v>43</v>
      </c>
      <c r="D15" s="29" t="s">
        <v>21</v>
      </c>
      <c r="E15" s="16">
        <v>5</v>
      </c>
      <c r="F15" s="30">
        <v>580</v>
      </c>
      <c r="G15" s="31">
        <v>55100</v>
      </c>
      <c r="H15" s="32"/>
      <c r="I15" s="57">
        <v>1045</v>
      </c>
      <c r="J15" s="57">
        <v>11</v>
      </c>
      <c r="K15" s="57">
        <v>1045</v>
      </c>
      <c r="L15" s="57">
        <v>11</v>
      </c>
      <c r="M15" s="57">
        <v>0</v>
      </c>
      <c r="N15" s="57">
        <v>0</v>
      </c>
      <c r="O15" s="57">
        <v>0</v>
      </c>
      <c r="P15" s="57">
        <v>0</v>
      </c>
      <c r="Q15" s="55">
        <f t="shared" si="0"/>
        <v>2090</v>
      </c>
      <c r="R15" s="56">
        <f t="shared" si="2"/>
        <v>1866.0714285714287</v>
      </c>
      <c r="S15" s="50">
        <f t="shared" si="1"/>
        <v>22</v>
      </c>
      <c r="T15" s="21">
        <v>29061</v>
      </c>
      <c r="U15" s="25">
        <v>27821.5</v>
      </c>
      <c r="V15" s="1">
        <f t="shared" si="3"/>
        <v>31151</v>
      </c>
      <c r="W15" s="49">
        <f t="shared" si="4"/>
        <v>29687.571428571428</v>
      </c>
    </row>
    <row r="16" spans="1:23" s="37" customFormat="1" ht="15" customHeight="1">
      <c r="A16" s="27">
        <v>12</v>
      </c>
      <c r="B16" s="24" t="s">
        <v>44</v>
      </c>
      <c r="C16" s="28" t="s">
        <v>45</v>
      </c>
      <c r="D16" s="29" t="s">
        <v>21</v>
      </c>
      <c r="E16" s="16">
        <v>5</v>
      </c>
      <c r="F16" s="30">
        <v>311</v>
      </c>
      <c r="G16" s="31">
        <v>29545</v>
      </c>
      <c r="H16" s="32"/>
      <c r="I16" s="57">
        <v>2500</v>
      </c>
      <c r="J16" s="57">
        <v>25</v>
      </c>
      <c r="K16" s="57">
        <v>1400</v>
      </c>
      <c r="L16" s="57">
        <v>14</v>
      </c>
      <c r="M16" s="57">
        <v>0</v>
      </c>
      <c r="N16" s="57">
        <v>0</v>
      </c>
      <c r="O16" s="57">
        <v>0</v>
      </c>
      <c r="P16" s="57">
        <v>0</v>
      </c>
      <c r="Q16" s="55">
        <f t="shared" si="0"/>
        <v>3900</v>
      </c>
      <c r="R16" s="56">
        <f t="shared" si="2"/>
        <v>3482.1428571428573</v>
      </c>
      <c r="S16" s="50">
        <f t="shared" si="1"/>
        <v>39</v>
      </c>
      <c r="T16" s="21">
        <v>159441</v>
      </c>
      <c r="U16" s="25">
        <v>148303.85714285716</v>
      </c>
      <c r="V16" s="1">
        <f t="shared" si="3"/>
        <v>163341</v>
      </c>
      <c r="W16" s="49">
        <f t="shared" si="4"/>
        <v>151786.00000000003</v>
      </c>
    </row>
    <row r="17" spans="1:23" s="37" customFormat="1" ht="15" customHeight="1">
      <c r="A17" s="27">
        <v>13</v>
      </c>
      <c r="B17" s="24" t="s">
        <v>46</v>
      </c>
      <c r="C17" s="28" t="s">
        <v>47</v>
      </c>
      <c r="D17" s="29" t="s">
        <v>21</v>
      </c>
      <c r="E17" s="16">
        <v>5</v>
      </c>
      <c r="F17" s="30">
        <v>302</v>
      </c>
      <c r="G17" s="31">
        <v>28550</v>
      </c>
      <c r="H17" s="32"/>
      <c r="I17" s="57">
        <v>475</v>
      </c>
      <c r="J17" s="57">
        <v>5</v>
      </c>
      <c r="K17" s="57">
        <v>1045</v>
      </c>
      <c r="L17" s="57">
        <v>11</v>
      </c>
      <c r="M17" s="57">
        <v>665</v>
      </c>
      <c r="N17" s="57">
        <v>7</v>
      </c>
      <c r="O17" s="57">
        <v>1330</v>
      </c>
      <c r="P17" s="57">
        <v>14</v>
      </c>
      <c r="Q17" s="55">
        <f t="shared" si="0"/>
        <v>3515</v>
      </c>
      <c r="R17" s="56">
        <f t="shared" si="2"/>
        <v>3138.3928571428573</v>
      </c>
      <c r="S17" s="50">
        <f t="shared" si="1"/>
        <v>37</v>
      </c>
      <c r="T17" s="21">
        <v>97348</v>
      </c>
      <c r="U17" s="25">
        <v>83376.07142857142</v>
      </c>
      <c r="V17" s="1">
        <f t="shared" si="3"/>
        <v>100863</v>
      </c>
      <c r="W17" s="49">
        <f t="shared" si="4"/>
        <v>86514.464285714275</v>
      </c>
    </row>
    <row r="18" spans="1:23" s="37" customFormat="1" ht="15" customHeight="1">
      <c r="A18" s="27">
        <v>14</v>
      </c>
      <c r="B18" s="24" t="s">
        <v>48</v>
      </c>
      <c r="C18" s="28" t="s">
        <v>49</v>
      </c>
      <c r="D18" s="29" t="s">
        <v>21</v>
      </c>
      <c r="E18" s="16">
        <v>5</v>
      </c>
      <c r="F18" s="30">
        <v>847</v>
      </c>
      <c r="G18" s="31">
        <v>94415</v>
      </c>
      <c r="H18" s="32"/>
      <c r="I18" s="57">
        <v>5340</v>
      </c>
      <c r="J18" s="57">
        <v>58</v>
      </c>
      <c r="K18" s="57">
        <v>2835</v>
      </c>
      <c r="L18" s="57">
        <v>33</v>
      </c>
      <c r="M18" s="57">
        <v>3375</v>
      </c>
      <c r="N18" s="57">
        <v>35</v>
      </c>
      <c r="O18" s="57">
        <v>6030</v>
      </c>
      <c r="P18" s="57">
        <v>58</v>
      </c>
      <c r="Q18" s="55">
        <f t="shared" si="0"/>
        <v>17580</v>
      </c>
      <c r="R18" s="56">
        <f t="shared" si="2"/>
        <v>15696.428571428571</v>
      </c>
      <c r="S18" s="50">
        <f t="shared" si="1"/>
        <v>184</v>
      </c>
      <c r="T18" s="21">
        <v>553030</v>
      </c>
      <c r="U18" s="25">
        <v>481296.42857142858</v>
      </c>
      <c r="V18" s="1">
        <f t="shared" si="3"/>
        <v>570610</v>
      </c>
      <c r="W18" s="49">
        <f t="shared" si="4"/>
        <v>496992.85714285716</v>
      </c>
    </row>
    <row r="19" spans="1:23" s="37" customFormat="1" ht="15" customHeight="1">
      <c r="A19" s="27">
        <v>15</v>
      </c>
      <c r="B19" s="28" t="s">
        <v>50</v>
      </c>
      <c r="C19" s="28" t="s">
        <v>51</v>
      </c>
      <c r="D19" s="29" t="s">
        <v>52</v>
      </c>
      <c r="E19" s="16">
        <v>5</v>
      </c>
      <c r="F19" s="30">
        <v>275</v>
      </c>
      <c r="G19" s="31">
        <v>28875</v>
      </c>
      <c r="H19" s="32"/>
      <c r="I19" s="57">
        <v>760</v>
      </c>
      <c r="J19" s="57">
        <v>8</v>
      </c>
      <c r="K19" s="57">
        <v>1045</v>
      </c>
      <c r="L19" s="57">
        <v>11</v>
      </c>
      <c r="M19" s="57">
        <v>1615</v>
      </c>
      <c r="N19" s="57">
        <v>17</v>
      </c>
      <c r="O19" s="57">
        <v>1045</v>
      </c>
      <c r="P19" s="57">
        <v>11</v>
      </c>
      <c r="Q19" s="55">
        <f t="shared" si="0"/>
        <v>4465</v>
      </c>
      <c r="R19" s="56">
        <f t="shared" si="2"/>
        <v>3986.6071428571427</v>
      </c>
      <c r="S19" s="50">
        <f t="shared" si="1"/>
        <v>47</v>
      </c>
      <c r="T19" s="21">
        <v>131980</v>
      </c>
      <c r="U19" s="25">
        <v>117189.49999999999</v>
      </c>
      <c r="V19" s="1">
        <f t="shared" si="3"/>
        <v>136445</v>
      </c>
      <c r="W19" s="49">
        <f t="shared" si="4"/>
        <v>121176.10714285713</v>
      </c>
    </row>
    <row r="20" spans="1:23" s="37" customFormat="1" ht="15" customHeight="1">
      <c r="A20" s="27">
        <v>16</v>
      </c>
      <c r="B20" s="28" t="s">
        <v>53</v>
      </c>
      <c r="C20" s="28" t="s">
        <v>32</v>
      </c>
      <c r="D20" s="29" t="s">
        <v>28</v>
      </c>
      <c r="E20" s="16">
        <v>5</v>
      </c>
      <c r="F20" s="30">
        <v>550</v>
      </c>
      <c r="G20" s="31">
        <v>63750</v>
      </c>
      <c r="H20" s="32"/>
      <c r="I20" s="57">
        <v>0</v>
      </c>
      <c r="J20" s="57">
        <v>0</v>
      </c>
      <c r="K20" s="57">
        <v>735</v>
      </c>
      <c r="L20" s="57">
        <v>7</v>
      </c>
      <c r="M20" s="57">
        <v>0</v>
      </c>
      <c r="N20" s="57">
        <v>0</v>
      </c>
      <c r="O20" s="57">
        <v>0</v>
      </c>
      <c r="P20" s="57">
        <v>0</v>
      </c>
      <c r="Q20" s="55">
        <f t="shared" si="0"/>
        <v>735</v>
      </c>
      <c r="R20" s="56">
        <f t="shared" si="2"/>
        <v>656.25</v>
      </c>
      <c r="S20" s="50">
        <f t="shared" si="1"/>
        <v>7</v>
      </c>
      <c r="T20" s="21">
        <v>163075</v>
      </c>
      <c r="U20" s="25">
        <v>139507.32142857142</v>
      </c>
      <c r="V20" s="1">
        <f t="shared" si="3"/>
        <v>163810</v>
      </c>
      <c r="W20" s="49">
        <f t="shared" si="4"/>
        <v>140163.57142857142</v>
      </c>
    </row>
    <row r="21" spans="1:23" s="37" customFormat="1" ht="15" customHeight="1">
      <c r="A21" s="27">
        <v>17</v>
      </c>
      <c r="B21" s="28" t="s">
        <v>54</v>
      </c>
      <c r="C21" s="28" t="s">
        <v>55</v>
      </c>
      <c r="D21" s="29" t="s">
        <v>33</v>
      </c>
      <c r="E21" s="16">
        <v>5</v>
      </c>
      <c r="F21" s="30">
        <v>570</v>
      </c>
      <c r="G21" s="31">
        <v>26250</v>
      </c>
      <c r="H21" s="32"/>
      <c r="I21" s="57">
        <v>990</v>
      </c>
      <c r="J21" s="57">
        <v>10</v>
      </c>
      <c r="K21" s="57">
        <v>915</v>
      </c>
      <c r="L21" s="57">
        <v>9</v>
      </c>
      <c r="M21" s="57">
        <v>1065</v>
      </c>
      <c r="N21" s="57">
        <v>11</v>
      </c>
      <c r="O21" s="57">
        <v>0</v>
      </c>
      <c r="P21" s="57">
        <v>0</v>
      </c>
      <c r="Q21" s="55">
        <f t="shared" si="0"/>
        <v>2970</v>
      </c>
      <c r="R21" s="56">
        <f t="shared" si="2"/>
        <v>2651.7857142857142</v>
      </c>
      <c r="S21" s="50">
        <f t="shared" si="1"/>
        <v>30</v>
      </c>
      <c r="T21" s="21">
        <v>24611</v>
      </c>
      <c r="U21" s="25">
        <v>22480.714285714286</v>
      </c>
      <c r="V21" s="1">
        <f t="shared" si="3"/>
        <v>27581</v>
      </c>
      <c r="W21" s="49">
        <f t="shared" si="4"/>
        <v>25132.5</v>
      </c>
    </row>
    <row r="22" spans="1:23" s="37" customFormat="1" ht="15" customHeight="1">
      <c r="A22" s="27">
        <v>18</v>
      </c>
      <c r="B22" s="28" t="s">
        <v>56</v>
      </c>
      <c r="C22" s="28" t="s">
        <v>57</v>
      </c>
      <c r="D22" s="29" t="s">
        <v>21</v>
      </c>
      <c r="E22" s="16">
        <v>5</v>
      </c>
      <c r="F22" s="30">
        <v>400</v>
      </c>
      <c r="G22" s="31">
        <v>38000</v>
      </c>
      <c r="H22" s="32"/>
      <c r="I22" s="57">
        <v>1520</v>
      </c>
      <c r="J22" s="57">
        <v>16</v>
      </c>
      <c r="K22" s="57">
        <v>1330</v>
      </c>
      <c r="L22" s="57">
        <v>14</v>
      </c>
      <c r="M22" s="57">
        <v>0</v>
      </c>
      <c r="N22" s="57">
        <v>0</v>
      </c>
      <c r="O22" s="57">
        <v>1235</v>
      </c>
      <c r="P22" s="57">
        <v>13</v>
      </c>
      <c r="Q22" s="55">
        <f t="shared" si="0"/>
        <v>4085</v>
      </c>
      <c r="R22" s="56">
        <f t="shared" si="2"/>
        <v>3647.3214285714284</v>
      </c>
      <c r="S22" s="50">
        <f t="shared" si="1"/>
        <v>43</v>
      </c>
      <c r="T22" s="21">
        <v>54852</v>
      </c>
      <c r="U22" s="25">
        <v>47688.571428571435</v>
      </c>
      <c r="V22" s="1">
        <f t="shared" si="3"/>
        <v>58937</v>
      </c>
      <c r="W22" s="49">
        <f t="shared" si="4"/>
        <v>51335.892857142862</v>
      </c>
    </row>
    <row r="23" spans="1:23" s="37" customFormat="1" ht="15" customHeight="1">
      <c r="A23" s="27">
        <v>19</v>
      </c>
      <c r="B23" s="28" t="s">
        <v>58</v>
      </c>
      <c r="C23" s="28" t="s">
        <v>57</v>
      </c>
      <c r="D23" s="29" t="s">
        <v>21</v>
      </c>
      <c r="E23" s="16">
        <v>5</v>
      </c>
      <c r="F23" s="30">
        <v>180</v>
      </c>
      <c r="G23" s="31">
        <v>17100</v>
      </c>
      <c r="H23" s="32"/>
      <c r="I23" s="57">
        <v>760</v>
      </c>
      <c r="J23" s="57">
        <v>8</v>
      </c>
      <c r="K23" s="57">
        <v>665</v>
      </c>
      <c r="L23" s="57">
        <v>7</v>
      </c>
      <c r="M23" s="57">
        <v>475</v>
      </c>
      <c r="N23" s="57">
        <v>5</v>
      </c>
      <c r="O23" s="57">
        <v>570</v>
      </c>
      <c r="P23" s="57">
        <v>6</v>
      </c>
      <c r="Q23" s="55">
        <f t="shared" si="0"/>
        <v>2470</v>
      </c>
      <c r="R23" s="56">
        <f t="shared" si="2"/>
        <v>2205.3571428571427</v>
      </c>
      <c r="S23" s="50">
        <f t="shared" si="1"/>
        <v>26</v>
      </c>
      <c r="T23" s="21">
        <v>29260</v>
      </c>
      <c r="U23" s="25">
        <v>25123.821428571428</v>
      </c>
      <c r="V23" s="1">
        <f t="shared" si="3"/>
        <v>31730</v>
      </c>
      <c r="W23" s="49">
        <f t="shared" si="4"/>
        <v>27329.178571428569</v>
      </c>
    </row>
    <row r="24" spans="1:23" s="37" customFormat="1" ht="15" customHeight="1">
      <c r="A24" s="27">
        <v>20</v>
      </c>
      <c r="B24" s="28" t="s">
        <v>59</v>
      </c>
      <c r="C24" s="28" t="s">
        <v>60</v>
      </c>
      <c r="D24" s="29" t="s">
        <v>33</v>
      </c>
      <c r="E24" s="16">
        <v>5</v>
      </c>
      <c r="F24" s="30">
        <v>400</v>
      </c>
      <c r="G24" s="31">
        <v>38000</v>
      </c>
      <c r="H24" s="32"/>
      <c r="I24" s="57">
        <v>0</v>
      </c>
      <c r="J24" s="57">
        <v>0</v>
      </c>
      <c r="K24" s="57">
        <v>0</v>
      </c>
      <c r="L24" s="57">
        <v>0</v>
      </c>
      <c r="M24" s="57"/>
      <c r="N24" s="57"/>
      <c r="O24" s="57">
        <v>0</v>
      </c>
      <c r="P24" s="57">
        <v>0</v>
      </c>
      <c r="Q24" s="55">
        <f t="shared" si="0"/>
        <v>0</v>
      </c>
      <c r="R24" s="56">
        <f t="shared" si="2"/>
        <v>0</v>
      </c>
      <c r="S24" s="50">
        <f t="shared" si="1"/>
        <v>0</v>
      </c>
      <c r="T24" s="21">
        <v>116286</v>
      </c>
      <c r="U24" s="25">
        <v>110552.28571428572</v>
      </c>
      <c r="V24" s="1">
        <f t="shared" si="3"/>
        <v>116286</v>
      </c>
      <c r="W24" s="49">
        <f t="shared" si="4"/>
        <v>110552.28571428572</v>
      </c>
    </row>
    <row r="25" spans="1:23" s="37" customFormat="1" ht="15" customHeight="1">
      <c r="A25" s="27">
        <v>21</v>
      </c>
      <c r="B25" s="28" t="s">
        <v>61</v>
      </c>
      <c r="C25" s="28" t="s">
        <v>62</v>
      </c>
      <c r="D25" s="29" t="s">
        <v>21</v>
      </c>
      <c r="E25" s="16">
        <v>5</v>
      </c>
      <c r="F25" s="30">
        <v>370</v>
      </c>
      <c r="G25" s="31">
        <v>28750</v>
      </c>
      <c r="H25" s="32"/>
      <c r="I25" s="57">
        <v>500</v>
      </c>
      <c r="J25" s="57">
        <v>5</v>
      </c>
      <c r="K25" s="57">
        <v>400</v>
      </c>
      <c r="L25" s="57">
        <v>4</v>
      </c>
      <c r="M25" s="57">
        <v>500</v>
      </c>
      <c r="N25" s="57">
        <v>5</v>
      </c>
      <c r="O25" s="57">
        <v>0</v>
      </c>
      <c r="P25" s="57">
        <v>0</v>
      </c>
      <c r="Q25" s="55">
        <f t="shared" si="0"/>
        <v>1400</v>
      </c>
      <c r="R25" s="56">
        <f t="shared" si="2"/>
        <v>1250</v>
      </c>
      <c r="S25" s="50">
        <f t="shared" si="1"/>
        <v>14</v>
      </c>
      <c r="T25" s="21">
        <v>38393</v>
      </c>
      <c r="U25" s="25">
        <v>33770.714285714283</v>
      </c>
      <c r="V25" s="1">
        <f t="shared" si="3"/>
        <v>39793</v>
      </c>
      <c r="W25" s="49">
        <f t="shared" si="4"/>
        <v>35020.714285714283</v>
      </c>
    </row>
    <row r="26" spans="1:23" s="37" customFormat="1" ht="15" customHeight="1">
      <c r="A26" s="27">
        <v>22</v>
      </c>
      <c r="B26" s="28" t="s">
        <v>63</v>
      </c>
      <c r="C26" s="28" t="s">
        <v>57</v>
      </c>
      <c r="D26" s="29" t="s">
        <v>21</v>
      </c>
      <c r="E26" s="16">
        <v>5</v>
      </c>
      <c r="F26" s="30">
        <v>664</v>
      </c>
      <c r="G26" s="31">
        <v>21088</v>
      </c>
      <c r="H26" s="32"/>
      <c r="I26" s="57">
        <v>1710</v>
      </c>
      <c r="J26" s="57">
        <v>18</v>
      </c>
      <c r="K26" s="57">
        <v>1710</v>
      </c>
      <c r="L26" s="57">
        <v>18</v>
      </c>
      <c r="M26" s="57">
        <v>665</v>
      </c>
      <c r="N26" s="57">
        <v>7</v>
      </c>
      <c r="O26" s="57">
        <v>1140</v>
      </c>
      <c r="P26" s="57">
        <v>12</v>
      </c>
      <c r="Q26" s="55">
        <f t="shared" si="0"/>
        <v>5225</v>
      </c>
      <c r="R26" s="56">
        <f t="shared" si="2"/>
        <v>4665.1785714285716</v>
      </c>
      <c r="S26" s="50">
        <f t="shared" si="1"/>
        <v>55</v>
      </c>
      <c r="T26" s="21">
        <v>77675</v>
      </c>
      <c r="U26" s="25">
        <v>66022.32142857142</v>
      </c>
      <c r="V26" s="1">
        <f t="shared" si="3"/>
        <v>82900</v>
      </c>
      <c r="W26" s="49">
        <f t="shared" si="4"/>
        <v>70687.499999999985</v>
      </c>
    </row>
    <row r="27" spans="1:23" s="37" customFormat="1" ht="17.399999999999999">
      <c r="A27" s="27">
        <v>23</v>
      </c>
      <c r="B27" s="24" t="s">
        <v>64</v>
      </c>
      <c r="C27" s="28" t="s">
        <v>65</v>
      </c>
      <c r="D27" s="29" t="s">
        <v>21</v>
      </c>
      <c r="E27" s="16">
        <v>5</v>
      </c>
      <c r="F27" s="30">
        <v>525</v>
      </c>
      <c r="G27" s="31">
        <v>42975</v>
      </c>
      <c r="H27" s="32"/>
      <c r="I27" s="57">
        <v>1520</v>
      </c>
      <c r="J27" s="57">
        <v>16</v>
      </c>
      <c r="K27" s="57">
        <v>4085</v>
      </c>
      <c r="L27" s="57">
        <v>43</v>
      </c>
      <c r="M27" s="57">
        <v>855</v>
      </c>
      <c r="N27" s="57">
        <v>9</v>
      </c>
      <c r="O27" s="57">
        <v>667</v>
      </c>
      <c r="P27" s="57">
        <v>7</v>
      </c>
      <c r="Q27" s="55">
        <f t="shared" si="0"/>
        <v>7127</v>
      </c>
      <c r="R27" s="56">
        <f t="shared" si="2"/>
        <v>6363.3928571428569</v>
      </c>
      <c r="S27" s="50">
        <f t="shared" si="1"/>
        <v>75</v>
      </c>
      <c r="T27" s="21">
        <v>205480</v>
      </c>
      <c r="U27" s="25">
        <v>178009.3928571429</v>
      </c>
      <c r="V27" s="1">
        <f t="shared" si="3"/>
        <v>212607</v>
      </c>
      <c r="W27" s="49">
        <f t="shared" si="4"/>
        <v>184372.78571428577</v>
      </c>
    </row>
    <row r="28" spans="1:23" s="37" customFormat="1" ht="17.399999999999999">
      <c r="A28" s="27">
        <v>24</v>
      </c>
      <c r="B28" s="24" t="s">
        <v>66</v>
      </c>
      <c r="C28" s="28" t="s">
        <v>47</v>
      </c>
      <c r="D28" s="29" t="s">
        <v>67</v>
      </c>
      <c r="E28" s="16">
        <v>5</v>
      </c>
      <c r="F28" s="30">
        <v>449</v>
      </c>
      <c r="G28" s="31">
        <v>65105</v>
      </c>
      <c r="H28" s="32"/>
      <c r="I28" s="57">
        <v>735</v>
      </c>
      <c r="J28" s="57">
        <v>7</v>
      </c>
      <c r="K28" s="57">
        <v>945</v>
      </c>
      <c r="L28" s="57">
        <v>9</v>
      </c>
      <c r="M28" s="57">
        <v>2100</v>
      </c>
      <c r="N28" s="57">
        <v>20</v>
      </c>
      <c r="O28" s="57">
        <v>1575</v>
      </c>
      <c r="P28" s="57">
        <v>15</v>
      </c>
      <c r="Q28" s="55">
        <f t="shared" si="0"/>
        <v>5355</v>
      </c>
      <c r="R28" s="56">
        <f t="shared" si="2"/>
        <v>4781.25</v>
      </c>
      <c r="S28" s="50">
        <f t="shared" si="1"/>
        <v>51</v>
      </c>
      <c r="T28" s="21">
        <v>244275</v>
      </c>
      <c r="U28" s="25">
        <v>210986.35714285716</v>
      </c>
      <c r="V28" s="1">
        <f t="shared" si="3"/>
        <v>249630</v>
      </c>
      <c r="W28" s="49">
        <f t="shared" si="4"/>
        <v>215767.60714285716</v>
      </c>
    </row>
    <row r="29" spans="1:23" s="37" customFormat="1" ht="17.399999999999999">
      <c r="A29" s="27">
        <v>25</v>
      </c>
      <c r="B29" s="28" t="s">
        <v>68</v>
      </c>
      <c r="C29" s="28" t="s">
        <v>69</v>
      </c>
      <c r="D29" s="29" t="s">
        <v>21</v>
      </c>
      <c r="E29" s="16">
        <v>5</v>
      </c>
      <c r="F29" s="30">
        <v>450</v>
      </c>
      <c r="G29" s="31">
        <v>43650</v>
      </c>
      <c r="H29" s="32"/>
      <c r="I29" s="57">
        <v>291</v>
      </c>
      <c r="J29" s="57">
        <v>3</v>
      </c>
      <c r="K29" s="57">
        <v>776</v>
      </c>
      <c r="L29" s="57">
        <v>8</v>
      </c>
      <c r="M29" s="57">
        <v>485</v>
      </c>
      <c r="N29" s="57">
        <v>5</v>
      </c>
      <c r="O29" s="57">
        <v>776</v>
      </c>
      <c r="P29" s="57">
        <v>8</v>
      </c>
      <c r="Q29" s="55">
        <f t="shared" si="0"/>
        <v>2328</v>
      </c>
      <c r="R29" s="56">
        <f t="shared" si="2"/>
        <v>2078.5714285714284</v>
      </c>
      <c r="S29" s="50">
        <f t="shared" si="1"/>
        <v>24</v>
      </c>
      <c r="T29" s="21">
        <v>47686</v>
      </c>
      <c r="U29" s="25">
        <v>43446.821428571428</v>
      </c>
      <c r="V29" s="1">
        <f t="shared" si="3"/>
        <v>50014</v>
      </c>
      <c r="W29" s="49">
        <f t="shared" si="4"/>
        <v>45525.392857142855</v>
      </c>
    </row>
    <row r="30" spans="1:23" s="37" customFormat="1" ht="17.399999999999999">
      <c r="A30" s="27">
        <v>26</v>
      </c>
      <c r="B30" s="28" t="s">
        <v>70</v>
      </c>
      <c r="C30" s="28" t="s">
        <v>71</v>
      </c>
      <c r="D30" s="29" t="s">
        <v>21</v>
      </c>
      <c r="E30" s="16">
        <v>5</v>
      </c>
      <c r="F30" s="30">
        <v>300</v>
      </c>
      <c r="G30" s="31">
        <v>29100</v>
      </c>
      <c r="H30" s="32"/>
      <c r="I30" s="57"/>
      <c r="J30" s="57"/>
      <c r="K30" s="57">
        <v>776</v>
      </c>
      <c r="L30" s="57">
        <v>8</v>
      </c>
      <c r="M30" s="57">
        <v>0</v>
      </c>
      <c r="N30" s="57">
        <v>0</v>
      </c>
      <c r="O30" s="57">
        <v>0</v>
      </c>
      <c r="P30" s="57">
        <v>0</v>
      </c>
      <c r="Q30" s="55">
        <f t="shared" si="0"/>
        <v>776</v>
      </c>
      <c r="R30" s="56">
        <f t="shared" si="2"/>
        <v>692.85714285714289</v>
      </c>
      <c r="S30" s="50">
        <f t="shared" si="1"/>
        <v>8</v>
      </c>
      <c r="T30" s="21">
        <v>44329</v>
      </c>
      <c r="U30" s="25">
        <v>39271.714285714283</v>
      </c>
      <c r="V30" s="1">
        <f t="shared" si="3"/>
        <v>45105</v>
      </c>
      <c r="W30" s="49">
        <f t="shared" si="4"/>
        <v>39964.571428571428</v>
      </c>
    </row>
    <row r="31" spans="1:23" s="37" customFormat="1" ht="17.399999999999999">
      <c r="A31" s="27">
        <v>27</v>
      </c>
      <c r="B31" s="28" t="s">
        <v>72</v>
      </c>
      <c r="C31" s="28" t="s">
        <v>73</v>
      </c>
      <c r="D31" s="29" t="s">
        <v>37</v>
      </c>
      <c r="E31" s="16">
        <v>5</v>
      </c>
      <c r="F31" s="30">
        <v>896</v>
      </c>
      <c r="G31" s="31">
        <v>144420</v>
      </c>
      <c r="H31" s="32"/>
      <c r="I31" s="57">
        <v>5050</v>
      </c>
      <c r="J31" s="57">
        <v>37</v>
      </c>
      <c r="K31" s="57">
        <v>2850</v>
      </c>
      <c r="L31" s="57">
        <v>19</v>
      </c>
      <c r="M31" s="57">
        <v>3500</v>
      </c>
      <c r="N31" s="57">
        <v>28</v>
      </c>
      <c r="O31" s="57">
        <v>4190</v>
      </c>
      <c r="P31" s="57">
        <v>33</v>
      </c>
      <c r="Q31" s="55">
        <f>I31+K31+M31+O31</f>
        <v>15590</v>
      </c>
      <c r="R31" s="56">
        <f t="shared" si="2"/>
        <v>13919.642857142857</v>
      </c>
      <c r="S31" s="50">
        <f>J31+L31+N31+P31</f>
        <v>117</v>
      </c>
      <c r="T31" s="21">
        <v>520380</v>
      </c>
      <c r="U31" s="25">
        <v>454796.39285714284</v>
      </c>
      <c r="V31" s="1">
        <f t="shared" si="3"/>
        <v>535970</v>
      </c>
      <c r="W31" s="49">
        <f t="shared" si="4"/>
        <v>468716.03571428568</v>
      </c>
    </row>
    <row r="32" spans="1:23" ht="17.399999999999999">
      <c r="A32" s="15">
        <v>28</v>
      </c>
      <c r="B32" s="16" t="s">
        <v>74</v>
      </c>
      <c r="C32" s="16" t="s">
        <v>45</v>
      </c>
      <c r="D32" s="17" t="s">
        <v>33</v>
      </c>
      <c r="E32" s="16">
        <v>5</v>
      </c>
      <c r="F32" s="18">
        <v>360</v>
      </c>
      <c r="G32" s="19">
        <v>42700</v>
      </c>
      <c r="H32" s="20"/>
      <c r="I32" s="55">
        <v>880</v>
      </c>
      <c r="J32" s="55">
        <v>14</v>
      </c>
      <c r="K32" s="55">
        <v>595</v>
      </c>
      <c r="L32" s="55">
        <v>11</v>
      </c>
      <c r="M32" s="55">
        <v>345</v>
      </c>
      <c r="N32" s="55">
        <v>7</v>
      </c>
      <c r="O32" s="55">
        <v>0</v>
      </c>
      <c r="P32" s="55">
        <v>0</v>
      </c>
      <c r="Q32" s="55">
        <f t="shared" si="0"/>
        <v>1820</v>
      </c>
      <c r="R32" s="56">
        <f t="shared" si="2"/>
        <v>1625</v>
      </c>
      <c r="S32" s="50">
        <f t="shared" si="1"/>
        <v>32</v>
      </c>
      <c r="T32" s="21">
        <v>145965</v>
      </c>
      <c r="U32" s="25">
        <v>126969.78571428572</v>
      </c>
      <c r="V32" s="1">
        <f t="shared" si="3"/>
        <v>147785</v>
      </c>
      <c r="W32" s="49">
        <f t="shared" si="4"/>
        <v>128594.78571428572</v>
      </c>
    </row>
    <row r="33" spans="1:23" s="37" customFormat="1" ht="17.399999999999999">
      <c r="A33" s="27">
        <v>29</v>
      </c>
      <c r="B33" s="28" t="s">
        <v>75</v>
      </c>
      <c r="C33" s="28" t="s">
        <v>76</v>
      </c>
      <c r="D33" s="29" t="s">
        <v>21</v>
      </c>
      <c r="E33" s="16">
        <v>5</v>
      </c>
      <c r="F33" s="30">
        <v>726</v>
      </c>
      <c r="G33" s="31">
        <v>32670</v>
      </c>
      <c r="H33" s="32"/>
      <c r="I33" s="57">
        <v>1425</v>
      </c>
      <c r="J33" s="57">
        <v>15</v>
      </c>
      <c r="K33" s="57">
        <v>475</v>
      </c>
      <c r="L33" s="57">
        <v>5</v>
      </c>
      <c r="M33" s="57">
        <v>1425</v>
      </c>
      <c r="N33" s="57">
        <v>15</v>
      </c>
      <c r="O33" s="57">
        <v>950</v>
      </c>
      <c r="P33" s="57">
        <v>10</v>
      </c>
      <c r="Q33" s="55">
        <f t="shared" si="0"/>
        <v>4275</v>
      </c>
      <c r="R33" s="56">
        <f t="shared" si="2"/>
        <v>3816.9642857142858</v>
      </c>
      <c r="S33" s="50">
        <f t="shared" si="1"/>
        <v>45</v>
      </c>
      <c r="T33" s="21">
        <v>108712</v>
      </c>
      <c r="U33" s="25">
        <v>92793.535714285696</v>
      </c>
      <c r="V33" s="1">
        <f t="shared" si="3"/>
        <v>112987</v>
      </c>
      <c r="W33" s="49">
        <f t="shared" si="4"/>
        <v>96610.499999999985</v>
      </c>
    </row>
    <row r="34" spans="1:23" s="37" customFormat="1" ht="17.399999999999999">
      <c r="A34" s="27">
        <v>30</v>
      </c>
      <c r="B34" s="28" t="s">
        <v>77</v>
      </c>
      <c r="C34" s="28" t="s">
        <v>78</v>
      </c>
      <c r="D34" s="29" t="s">
        <v>33</v>
      </c>
      <c r="E34" s="16">
        <v>5</v>
      </c>
      <c r="F34" s="30">
        <v>600</v>
      </c>
      <c r="G34" s="31">
        <v>49142</v>
      </c>
      <c r="H34" s="32"/>
      <c r="I34" s="57">
        <v>500</v>
      </c>
      <c r="J34" s="57">
        <v>5</v>
      </c>
      <c r="K34" s="57">
        <v>300</v>
      </c>
      <c r="L34" s="57">
        <v>3</v>
      </c>
      <c r="M34" s="57">
        <v>600</v>
      </c>
      <c r="N34" s="57">
        <v>6</v>
      </c>
      <c r="O34" s="57"/>
      <c r="P34" s="57"/>
      <c r="Q34" s="55">
        <f>I34+K34+M34+O34</f>
        <v>1400</v>
      </c>
      <c r="R34" s="56">
        <f t="shared" si="2"/>
        <v>1250</v>
      </c>
      <c r="S34" s="50">
        <f>J34+L34+N34+P34</f>
        <v>14</v>
      </c>
      <c r="T34" s="21">
        <v>72809</v>
      </c>
      <c r="U34" s="25">
        <v>64008.285714285725</v>
      </c>
      <c r="V34" s="1">
        <f t="shared" si="3"/>
        <v>74209</v>
      </c>
      <c r="W34" s="49">
        <f t="shared" si="4"/>
        <v>65258.285714285725</v>
      </c>
    </row>
    <row r="35" spans="1:23" ht="17.399999999999999">
      <c r="A35" s="15">
        <v>31</v>
      </c>
      <c r="B35" s="16" t="s">
        <v>79</v>
      </c>
      <c r="C35" s="16" t="s">
        <v>80</v>
      </c>
      <c r="D35" s="17" t="s">
        <v>67</v>
      </c>
      <c r="E35" s="16">
        <v>5</v>
      </c>
      <c r="F35" s="18"/>
      <c r="G35" s="19"/>
      <c r="H35" s="20"/>
      <c r="I35" s="55">
        <v>3150</v>
      </c>
      <c r="J35" s="55">
        <v>21</v>
      </c>
      <c r="K35" s="55">
        <v>5250</v>
      </c>
      <c r="L35" s="55">
        <v>35</v>
      </c>
      <c r="M35" s="55">
        <v>4350</v>
      </c>
      <c r="N35" s="55">
        <v>29</v>
      </c>
      <c r="O35" s="55">
        <v>12000</v>
      </c>
      <c r="P35" s="55">
        <v>80</v>
      </c>
      <c r="Q35" s="55">
        <f t="shared" si="0"/>
        <v>24750</v>
      </c>
      <c r="R35" s="56">
        <f t="shared" si="2"/>
        <v>22098.214285714286</v>
      </c>
      <c r="S35" s="50">
        <f t="shared" si="1"/>
        <v>165</v>
      </c>
      <c r="T35" s="21">
        <v>21870</v>
      </c>
      <c r="U35" s="25">
        <v>19526.785714285714</v>
      </c>
      <c r="V35" s="1">
        <f t="shared" si="3"/>
        <v>46620</v>
      </c>
      <c r="W35" s="49">
        <f t="shared" si="4"/>
        <v>41625</v>
      </c>
    </row>
    <row r="36" spans="1:23" ht="15.6">
      <c r="A36" s="84" t="s">
        <v>81</v>
      </c>
      <c r="B36" s="85"/>
      <c r="C36" s="85"/>
      <c r="D36" s="85"/>
      <c r="E36" s="85"/>
      <c r="F36" s="86"/>
      <c r="G36" s="39"/>
      <c r="H36" s="40"/>
      <c r="I36" s="53">
        <f>SUM(I5:I35)</f>
        <v>42301</v>
      </c>
      <c r="J36" s="53">
        <f t="shared" ref="J36:S36" si="5">SUM(J5:J35)</f>
        <v>419</v>
      </c>
      <c r="K36" s="53">
        <f t="shared" si="5"/>
        <v>44977</v>
      </c>
      <c r="L36" s="53">
        <f t="shared" si="5"/>
        <v>442</v>
      </c>
      <c r="M36" s="53">
        <f t="shared" si="5"/>
        <v>35460</v>
      </c>
      <c r="N36" s="53">
        <f t="shared" si="5"/>
        <v>341</v>
      </c>
      <c r="O36" s="53">
        <f t="shared" si="5"/>
        <v>41540</v>
      </c>
      <c r="P36" s="53">
        <f t="shared" si="5"/>
        <v>362</v>
      </c>
      <c r="Q36" s="53">
        <f t="shared" si="5"/>
        <v>164278</v>
      </c>
      <c r="R36" s="54">
        <f t="shared" si="5"/>
        <v>146676.78571428571</v>
      </c>
      <c r="S36" s="41">
        <f t="shared" si="5"/>
        <v>1564</v>
      </c>
      <c r="T36" s="42">
        <f>SUM(T5:T35)</f>
        <v>5122596</v>
      </c>
      <c r="U36" s="42">
        <f>SUM(U5:U35)</f>
        <v>4455982.5357142845</v>
      </c>
      <c r="V36" s="1"/>
    </row>
    <row r="37" spans="1:23" ht="15.6">
      <c r="A37" s="3"/>
      <c r="B37" s="3"/>
      <c r="C37" s="3"/>
      <c r="D37" s="3"/>
      <c r="E37" s="3"/>
      <c r="F37" s="3"/>
      <c r="G37" s="3"/>
      <c r="H37" s="3"/>
      <c r="I37" s="1"/>
      <c r="J37" s="1"/>
      <c r="K37" s="2"/>
      <c r="L37" s="2"/>
      <c r="M37" s="2"/>
      <c r="N37" s="2"/>
      <c r="O37" s="2"/>
      <c r="P37" s="2"/>
      <c r="Q37" s="1"/>
      <c r="R37" s="1"/>
      <c r="S37" s="1"/>
      <c r="T37" s="58"/>
      <c r="U37" s="59"/>
      <c r="V37" s="1"/>
    </row>
    <row r="38" spans="1:23" ht="15.6">
      <c r="A38" s="3"/>
      <c r="B38" s="3"/>
      <c r="C38" s="3"/>
      <c r="D38" s="3"/>
      <c r="E38" s="3"/>
      <c r="F38" s="3"/>
      <c r="G38" s="3"/>
      <c r="H38" s="3"/>
      <c r="I38" s="1"/>
      <c r="J38" s="1"/>
      <c r="K38" s="2"/>
      <c r="L38" s="2"/>
      <c r="M38" s="2"/>
      <c r="N38" s="2"/>
      <c r="O38" s="2"/>
      <c r="P38" s="2"/>
      <c r="Q38" s="1"/>
      <c r="R38" s="1"/>
      <c r="S38" s="1"/>
      <c r="T38" s="58"/>
      <c r="U38" s="59"/>
      <c r="V38" s="1"/>
    </row>
    <row r="39" spans="1:23">
      <c r="I39" s="78"/>
      <c r="J39" s="78"/>
    </row>
    <row r="40" spans="1:23">
      <c r="I40" s="78"/>
      <c r="J40" s="78"/>
    </row>
    <row r="41" spans="1:23">
      <c r="I41" s="78"/>
      <c r="J41" s="78"/>
    </row>
    <row r="42" spans="1:23">
      <c r="I42" s="78"/>
      <c r="J42" s="78"/>
    </row>
    <row r="43" spans="1:23">
      <c r="I43" s="78"/>
      <c r="J43" s="78"/>
    </row>
    <row r="44" spans="1:23">
      <c r="I44" s="78"/>
      <c r="J44" s="78"/>
    </row>
    <row r="45" spans="1:23">
      <c r="I45" s="78"/>
      <c r="J45" s="78"/>
    </row>
    <row r="46" spans="1:23">
      <c r="I46" s="78"/>
      <c r="J46" s="78"/>
    </row>
    <row r="47" spans="1:23">
      <c r="I47" s="78"/>
      <c r="J47" s="78"/>
    </row>
    <row r="48" spans="1:23">
      <c r="I48" s="78"/>
      <c r="J48" s="78"/>
    </row>
    <row r="49" spans="9:10">
      <c r="I49" s="78"/>
      <c r="J49" s="78"/>
    </row>
    <row r="50" spans="9:10">
      <c r="I50" s="78"/>
      <c r="J50" s="78"/>
    </row>
    <row r="51" spans="9:10">
      <c r="I51" s="78"/>
      <c r="J51" s="78"/>
    </row>
    <row r="52" spans="9:10">
      <c r="I52" s="78"/>
      <c r="J52" s="78"/>
    </row>
    <row r="53" spans="9:10">
      <c r="I53" s="78"/>
      <c r="J53" s="78"/>
    </row>
    <row r="54" spans="9:10">
      <c r="I54" s="78"/>
      <c r="J54" s="78"/>
    </row>
    <row r="55" spans="9:10">
      <c r="I55" s="78"/>
      <c r="J55" s="78"/>
    </row>
    <row r="56" spans="9:10">
      <c r="I56" s="78"/>
      <c r="J56" s="78"/>
    </row>
    <row r="57" spans="9:10">
      <c r="I57" s="78"/>
      <c r="J57" s="78"/>
    </row>
    <row r="58" spans="9:10">
      <c r="I58" s="78"/>
      <c r="J58" s="78"/>
    </row>
    <row r="59" spans="9:10">
      <c r="I59" s="78"/>
      <c r="J59" s="78"/>
    </row>
    <row r="60" spans="9:10">
      <c r="I60" s="78"/>
      <c r="J60" s="78"/>
    </row>
    <row r="61" spans="9:10">
      <c r="I61" s="78"/>
      <c r="J61" s="78"/>
    </row>
    <row r="62" spans="9:10">
      <c r="I62" s="78"/>
      <c r="J62" s="78"/>
    </row>
    <row r="63" spans="9:10">
      <c r="I63" s="78"/>
      <c r="J63" s="78"/>
    </row>
    <row r="64" spans="9:10">
      <c r="I64" s="78"/>
      <c r="J64" s="78"/>
    </row>
    <row r="65" spans="9:10">
      <c r="I65" s="78"/>
      <c r="J65" s="78"/>
    </row>
    <row r="66" spans="9:10">
      <c r="I66" s="78"/>
      <c r="J66" s="78"/>
    </row>
    <row r="67" spans="9:10">
      <c r="I67" s="78"/>
      <c r="J67" s="78"/>
    </row>
    <row r="68" spans="9:10">
      <c r="I68" s="78"/>
      <c r="J68" s="78"/>
    </row>
    <row r="69" spans="9:10">
      <c r="I69" s="78"/>
      <c r="J69" s="78"/>
    </row>
    <row r="70" spans="9:10">
      <c r="I70" s="78"/>
      <c r="J70" s="78"/>
    </row>
    <row r="71" spans="9:10">
      <c r="I71" s="78"/>
      <c r="J71" s="78"/>
    </row>
    <row r="72" spans="9:10">
      <c r="I72" s="78"/>
      <c r="J72" s="78"/>
    </row>
    <row r="73" spans="9:10">
      <c r="I73" s="78"/>
      <c r="J73" s="78"/>
    </row>
    <row r="74" spans="9:10">
      <c r="I74" s="78"/>
      <c r="J74" s="78"/>
    </row>
    <row r="75" spans="9:10">
      <c r="I75" s="78"/>
      <c r="J75" s="78"/>
    </row>
    <row r="76" spans="9:10">
      <c r="I76" s="78"/>
      <c r="J76" s="78"/>
    </row>
    <row r="77" spans="9:10">
      <c r="I77" s="78"/>
      <c r="J77" s="78"/>
    </row>
    <row r="78" spans="9:10">
      <c r="I78" s="78"/>
      <c r="J78" s="78"/>
    </row>
    <row r="79" spans="9:10">
      <c r="I79" s="78"/>
      <c r="J79" s="78"/>
    </row>
    <row r="80" spans="9:10">
      <c r="I80" s="78"/>
      <c r="J80" s="78"/>
    </row>
    <row r="81" spans="9:10">
      <c r="I81" s="78"/>
      <c r="J81" s="78"/>
    </row>
    <row r="82" spans="9:10">
      <c r="I82" s="78"/>
      <c r="J82" s="78"/>
    </row>
    <row r="83" spans="9:10">
      <c r="I83" s="78"/>
      <c r="J83" s="78"/>
    </row>
    <row r="84" spans="9:10">
      <c r="I84" s="78"/>
      <c r="J84" s="78"/>
    </row>
    <row r="85" spans="9:10">
      <c r="I85" s="78"/>
      <c r="J85" s="78"/>
    </row>
    <row r="86" spans="9:10">
      <c r="I86" s="78"/>
      <c r="J86" s="78"/>
    </row>
    <row r="87" spans="9:10">
      <c r="I87" s="78"/>
      <c r="J87" s="78"/>
    </row>
    <row r="88" spans="9:10">
      <c r="I88" s="78"/>
      <c r="J88" s="78"/>
    </row>
    <row r="89" spans="9:10">
      <c r="I89" s="78"/>
      <c r="J89" s="78"/>
    </row>
    <row r="90" spans="9:10">
      <c r="I90" s="78"/>
      <c r="J90" s="78"/>
    </row>
    <row r="91" spans="9:10">
      <c r="I91" s="78"/>
      <c r="J91" s="78"/>
    </row>
    <row r="92" spans="9:10">
      <c r="I92" s="78"/>
      <c r="J92" s="78"/>
    </row>
    <row r="93" spans="9:10">
      <c r="I93" s="78"/>
      <c r="J93" s="78"/>
    </row>
    <row r="94" spans="9:10">
      <c r="I94" s="78"/>
      <c r="J94" s="78"/>
    </row>
    <row r="95" spans="9:10">
      <c r="I95" s="78"/>
      <c r="J95" s="78"/>
    </row>
    <row r="96" spans="9:10">
      <c r="I96" s="78"/>
      <c r="J96" s="78"/>
    </row>
    <row r="97" spans="9:10">
      <c r="I97" s="78"/>
      <c r="J97" s="78"/>
    </row>
    <row r="98" spans="9:10">
      <c r="I98" s="78"/>
      <c r="J98" s="78"/>
    </row>
    <row r="99" spans="9:10">
      <c r="I99" s="78"/>
      <c r="J99" s="78"/>
    </row>
    <row r="100" spans="9:10">
      <c r="I100" s="78"/>
      <c r="J100" s="78"/>
    </row>
    <row r="101" spans="9:10">
      <c r="I101" s="78"/>
      <c r="J101" s="78"/>
    </row>
    <row r="102" spans="9:10">
      <c r="I102" s="78"/>
      <c r="J102" s="78"/>
    </row>
    <row r="103" spans="9:10">
      <c r="I103" s="78"/>
      <c r="J103" s="78"/>
    </row>
    <row r="104" spans="9:10">
      <c r="I104" s="78"/>
      <c r="J104" s="78"/>
    </row>
    <row r="105" spans="9:10">
      <c r="I105" s="78"/>
      <c r="J105" s="78"/>
    </row>
    <row r="106" spans="9:10">
      <c r="I106" s="78"/>
      <c r="J106" s="78"/>
    </row>
    <row r="107" spans="9:10">
      <c r="I107" s="78"/>
      <c r="J107" s="78"/>
    </row>
    <row r="108" spans="9:10">
      <c r="I108" s="78"/>
      <c r="J108" s="78"/>
    </row>
    <row r="109" spans="9:10">
      <c r="I109" s="78"/>
      <c r="J109" s="78"/>
    </row>
    <row r="110" spans="9:10">
      <c r="I110" s="78"/>
      <c r="J110" s="78"/>
    </row>
    <row r="111" spans="9:10">
      <c r="I111" s="78"/>
      <c r="J111" s="78"/>
    </row>
    <row r="112" spans="9:10">
      <c r="I112" s="78"/>
      <c r="J112" s="78"/>
    </row>
    <row r="113" spans="9:10">
      <c r="I113" s="78"/>
      <c r="J113" s="78"/>
    </row>
    <row r="114" spans="9:10">
      <c r="I114" s="78"/>
      <c r="J114" s="78"/>
    </row>
    <row r="115" spans="9:10">
      <c r="I115" s="78"/>
      <c r="J115" s="78"/>
    </row>
    <row r="116" spans="9:10">
      <c r="I116" s="78"/>
      <c r="J116" s="78"/>
    </row>
    <row r="117" spans="9:10">
      <c r="I117" s="78"/>
      <c r="J117" s="78"/>
    </row>
    <row r="118" spans="9:10">
      <c r="I118" s="78"/>
      <c r="J118" s="78"/>
    </row>
    <row r="119" spans="9:10">
      <c r="I119" s="78"/>
      <c r="J119" s="78"/>
    </row>
    <row r="120" spans="9:10">
      <c r="I120" s="78"/>
      <c r="J120" s="78"/>
    </row>
    <row r="121" spans="9:10">
      <c r="I121" s="78"/>
      <c r="J121" s="78"/>
    </row>
    <row r="122" spans="9:10">
      <c r="I122" s="78"/>
      <c r="J122" s="78"/>
    </row>
    <row r="123" spans="9:10">
      <c r="I123" s="78"/>
      <c r="J123" s="78"/>
    </row>
    <row r="124" spans="9:10">
      <c r="I124" s="78"/>
      <c r="J124" s="78"/>
    </row>
    <row r="125" spans="9:10">
      <c r="I125" s="78"/>
      <c r="J125" s="78"/>
    </row>
    <row r="126" spans="9:10">
      <c r="I126" s="78"/>
      <c r="J126" s="78"/>
    </row>
    <row r="127" spans="9:10">
      <c r="I127" s="78"/>
      <c r="J127" s="78"/>
    </row>
    <row r="128" spans="9:10">
      <c r="I128" s="78"/>
      <c r="J128" s="78"/>
    </row>
    <row r="129" spans="9:10">
      <c r="I129" s="78"/>
      <c r="J129" s="78"/>
    </row>
    <row r="130" spans="9:10">
      <c r="I130" s="78"/>
      <c r="J130" s="78"/>
    </row>
    <row r="131" spans="9:10">
      <c r="I131" s="78"/>
      <c r="J131" s="78"/>
    </row>
    <row r="132" spans="9:10">
      <c r="I132" s="78"/>
      <c r="J132" s="78"/>
    </row>
    <row r="133" spans="9:10">
      <c r="I133" s="78"/>
      <c r="J133" s="78"/>
    </row>
    <row r="134" spans="9:10">
      <c r="I134" s="78"/>
      <c r="J134" s="78"/>
    </row>
    <row r="135" spans="9:10">
      <c r="I135" s="78"/>
      <c r="J135" s="78"/>
    </row>
    <row r="136" spans="9:10">
      <c r="I136" s="78"/>
      <c r="J136" s="78"/>
    </row>
    <row r="137" spans="9:10">
      <c r="I137" s="78"/>
      <c r="J137" s="78"/>
    </row>
    <row r="138" spans="9:10">
      <c r="I138" s="78"/>
      <c r="J138" s="78"/>
    </row>
    <row r="139" spans="9:10">
      <c r="I139" s="78"/>
      <c r="J139" s="78"/>
    </row>
    <row r="140" spans="9:10">
      <c r="I140" s="78"/>
      <c r="J140" s="78"/>
    </row>
    <row r="141" spans="9:10">
      <c r="I141" s="78"/>
      <c r="J141" s="78"/>
    </row>
    <row r="142" spans="9:10">
      <c r="I142" s="78"/>
      <c r="J142" s="78"/>
    </row>
    <row r="143" spans="9:10">
      <c r="I143" s="78"/>
      <c r="J143" s="78"/>
    </row>
    <row r="144" spans="9:10">
      <c r="I144" s="78"/>
      <c r="J144" s="78"/>
    </row>
    <row r="145" spans="9:10">
      <c r="I145" s="78"/>
      <c r="J145" s="78"/>
    </row>
    <row r="146" spans="9:10">
      <c r="I146" s="78"/>
      <c r="J146" s="78"/>
    </row>
    <row r="147" spans="9:10">
      <c r="I147" s="78"/>
      <c r="J147" s="78"/>
    </row>
    <row r="148" spans="9:10">
      <c r="I148" s="78"/>
      <c r="J148" s="78"/>
    </row>
    <row r="149" spans="9:10">
      <c r="I149" s="78"/>
      <c r="J149" s="78"/>
    </row>
    <row r="150" spans="9:10">
      <c r="I150" s="78"/>
      <c r="J150" s="78"/>
    </row>
    <row r="151" spans="9:10">
      <c r="I151" s="78"/>
      <c r="J151" s="78"/>
    </row>
    <row r="152" spans="9:10">
      <c r="I152" s="78"/>
      <c r="J152" s="78"/>
    </row>
    <row r="153" spans="9:10">
      <c r="I153" s="78"/>
      <c r="J153" s="78"/>
    </row>
    <row r="154" spans="9:10">
      <c r="I154" s="78"/>
      <c r="J154" s="78"/>
    </row>
    <row r="155" spans="9:10">
      <c r="I155" s="78"/>
      <c r="J155" s="78"/>
    </row>
    <row r="156" spans="9:10">
      <c r="I156" s="78"/>
      <c r="J156" s="78"/>
    </row>
    <row r="157" spans="9:10">
      <c r="I157" s="78"/>
      <c r="J157" s="78"/>
    </row>
    <row r="158" spans="9:10">
      <c r="I158" s="78"/>
      <c r="J158" s="78"/>
    </row>
    <row r="159" spans="9:10">
      <c r="I159" s="78"/>
      <c r="J159" s="78"/>
    </row>
    <row r="160" spans="9:10">
      <c r="I160" s="78"/>
      <c r="J160" s="78"/>
    </row>
    <row r="161" spans="9:10">
      <c r="I161" s="78"/>
      <c r="J161" s="78"/>
    </row>
    <row r="162" spans="9:10">
      <c r="I162" s="78"/>
      <c r="J162" s="78"/>
    </row>
    <row r="163" spans="9:10">
      <c r="I163" s="78"/>
      <c r="J163" s="78"/>
    </row>
    <row r="164" spans="9:10">
      <c r="I164" s="78"/>
      <c r="J164" s="78"/>
    </row>
    <row r="165" spans="9:10">
      <c r="I165" s="78"/>
      <c r="J165" s="78"/>
    </row>
    <row r="166" spans="9:10">
      <c r="I166" s="78"/>
      <c r="J166" s="78"/>
    </row>
    <row r="167" spans="9:10">
      <c r="I167" s="78"/>
      <c r="J167" s="78"/>
    </row>
    <row r="168" spans="9:10">
      <c r="I168" s="78"/>
      <c r="J168" s="78"/>
    </row>
    <row r="169" spans="9:10">
      <c r="I169" s="78"/>
      <c r="J169" s="78"/>
    </row>
    <row r="170" spans="9:10">
      <c r="I170" s="78"/>
      <c r="J170" s="78"/>
    </row>
    <row r="171" spans="9:10">
      <c r="I171" s="78"/>
      <c r="J171" s="78"/>
    </row>
    <row r="172" spans="9:10">
      <c r="I172" s="78"/>
      <c r="J172" s="78"/>
    </row>
    <row r="173" spans="9:10">
      <c r="I173" s="78"/>
      <c r="J173" s="78"/>
    </row>
    <row r="174" spans="9:10">
      <c r="I174" s="78"/>
      <c r="J174" s="78"/>
    </row>
    <row r="175" spans="9:10">
      <c r="I175" s="78"/>
      <c r="J175" s="78"/>
    </row>
    <row r="176" spans="9:10">
      <c r="I176" s="78"/>
      <c r="J176" s="78"/>
    </row>
    <row r="177" spans="9:10">
      <c r="I177" s="78"/>
      <c r="J177" s="78"/>
    </row>
    <row r="178" spans="9:10">
      <c r="I178" s="78"/>
      <c r="J178" s="78"/>
    </row>
    <row r="179" spans="9:10">
      <c r="I179" s="78"/>
      <c r="J179" s="78"/>
    </row>
    <row r="180" spans="9:10">
      <c r="I180" s="78"/>
      <c r="J180" s="78"/>
    </row>
    <row r="181" spans="9:10">
      <c r="I181" s="78"/>
      <c r="J181" s="78"/>
    </row>
    <row r="182" spans="9:10">
      <c r="I182" s="78"/>
      <c r="J182" s="78"/>
    </row>
    <row r="183" spans="9:10">
      <c r="I183" s="78"/>
      <c r="J183" s="78"/>
    </row>
    <row r="184" spans="9:10">
      <c r="I184" s="78"/>
      <c r="J184" s="78"/>
    </row>
    <row r="185" spans="9:10">
      <c r="I185" s="78"/>
      <c r="J185" s="78"/>
    </row>
    <row r="186" spans="9:10">
      <c r="I186" s="78"/>
      <c r="J186" s="78"/>
    </row>
    <row r="187" spans="9:10">
      <c r="I187" s="78"/>
      <c r="J187" s="78"/>
    </row>
    <row r="188" spans="9:10">
      <c r="I188" s="78"/>
      <c r="J188" s="78"/>
    </row>
    <row r="189" spans="9:10">
      <c r="I189" s="78"/>
      <c r="J189" s="78"/>
    </row>
    <row r="190" spans="9:10">
      <c r="I190" s="78"/>
      <c r="J190" s="78"/>
    </row>
    <row r="191" spans="9:10">
      <c r="I191" s="78"/>
      <c r="J191" s="78"/>
    </row>
    <row r="192" spans="9:10">
      <c r="I192" s="78"/>
      <c r="J192" s="78"/>
    </row>
    <row r="193" spans="9:10">
      <c r="I193" s="78"/>
      <c r="J193" s="78"/>
    </row>
    <row r="194" spans="9:10">
      <c r="I194" s="78"/>
      <c r="J194" s="78"/>
    </row>
    <row r="195" spans="9:10">
      <c r="I195" s="78"/>
      <c r="J195" s="78"/>
    </row>
    <row r="196" spans="9:10">
      <c r="I196" s="78"/>
      <c r="J196" s="78"/>
    </row>
    <row r="197" spans="9:10">
      <c r="I197" s="78"/>
      <c r="J197" s="78"/>
    </row>
    <row r="198" spans="9:10">
      <c r="I198" s="78"/>
      <c r="J198" s="78"/>
    </row>
    <row r="199" spans="9:10">
      <c r="I199" s="78"/>
      <c r="J199" s="78"/>
    </row>
    <row r="200" spans="9:10">
      <c r="I200" s="78"/>
      <c r="J200" s="78"/>
    </row>
    <row r="201" spans="9:10">
      <c r="I201" s="78"/>
      <c r="J201" s="78"/>
    </row>
    <row r="202" spans="9:10">
      <c r="I202" s="78"/>
      <c r="J202" s="78"/>
    </row>
    <row r="203" spans="9:10">
      <c r="I203" s="78"/>
      <c r="J203" s="78"/>
    </row>
    <row r="204" spans="9:10">
      <c r="I204" s="78"/>
      <c r="J204" s="78"/>
    </row>
    <row r="205" spans="9:10">
      <c r="I205" s="78"/>
      <c r="J205" s="78"/>
    </row>
    <row r="206" spans="9:10">
      <c r="I206" s="78"/>
      <c r="J206" s="78"/>
    </row>
    <row r="207" spans="9:10">
      <c r="I207" s="78"/>
      <c r="J207" s="78"/>
    </row>
    <row r="208" spans="9:10">
      <c r="I208" s="78"/>
      <c r="J208" s="78"/>
    </row>
    <row r="209" spans="9:10">
      <c r="I209" s="78"/>
      <c r="J209" s="78"/>
    </row>
    <row r="210" spans="9:10">
      <c r="I210" s="78"/>
      <c r="J210" s="78"/>
    </row>
    <row r="211" spans="9:10">
      <c r="I211" s="78"/>
      <c r="J211" s="78"/>
    </row>
    <row r="212" spans="9:10">
      <c r="I212" s="78"/>
      <c r="J212" s="78"/>
    </row>
    <row r="213" spans="9:10">
      <c r="I213" s="78"/>
      <c r="J213" s="78"/>
    </row>
    <row r="214" spans="9:10">
      <c r="I214" s="78"/>
      <c r="J214" s="78"/>
    </row>
    <row r="215" spans="9:10">
      <c r="I215" s="78"/>
      <c r="J215" s="78"/>
    </row>
    <row r="216" spans="9:10">
      <c r="I216" s="78"/>
      <c r="J216" s="78"/>
    </row>
    <row r="217" spans="9:10">
      <c r="I217" s="78"/>
      <c r="J217" s="78"/>
    </row>
    <row r="218" spans="9:10">
      <c r="I218" s="78"/>
      <c r="J218" s="78"/>
    </row>
    <row r="219" spans="9:10">
      <c r="I219" s="78"/>
      <c r="J219" s="78"/>
    </row>
    <row r="220" spans="9:10">
      <c r="I220" s="78"/>
      <c r="J220" s="78"/>
    </row>
    <row r="221" spans="9:10">
      <c r="I221" s="78"/>
      <c r="J221" s="78"/>
    </row>
    <row r="222" spans="9:10">
      <c r="I222" s="78"/>
      <c r="J222" s="78"/>
    </row>
    <row r="223" spans="9:10">
      <c r="I223" s="78"/>
      <c r="J223" s="78"/>
    </row>
    <row r="224" spans="9:10">
      <c r="I224" s="78"/>
      <c r="J224" s="78"/>
    </row>
    <row r="225" spans="9:10">
      <c r="I225" s="78"/>
      <c r="J225" s="78"/>
    </row>
    <row r="226" spans="9:10">
      <c r="I226" s="78"/>
      <c r="J226" s="78"/>
    </row>
    <row r="227" spans="9:10">
      <c r="I227" s="78"/>
      <c r="J227" s="78"/>
    </row>
    <row r="228" spans="9:10">
      <c r="I228" s="78"/>
      <c r="J228" s="78"/>
    </row>
    <row r="229" spans="9:10">
      <c r="I229" s="78"/>
      <c r="J229" s="78"/>
    </row>
    <row r="230" spans="9:10">
      <c r="I230" s="78"/>
      <c r="J230" s="78"/>
    </row>
    <row r="231" spans="9:10">
      <c r="I231" s="78"/>
      <c r="J231" s="78"/>
    </row>
    <row r="232" spans="9:10">
      <c r="I232" s="78"/>
      <c r="J232" s="78"/>
    </row>
    <row r="233" spans="9:10">
      <c r="I233" s="78"/>
      <c r="J233" s="78"/>
    </row>
    <row r="234" spans="9:10">
      <c r="I234" s="78"/>
      <c r="J234" s="78"/>
    </row>
    <row r="235" spans="9:10">
      <c r="I235" s="78"/>
      <c r="J235" s="78"/>
    </row>
    <row r="236" spans="9:10">
      <c r="I236" s="78"/>
      <c r="J236" s="78"/>
    </row>
    <row r="237" spans="9:10">
      <c r="I237" s="78"/>
      <c r="J237" s="78"/>
    </row>
    <row r="238" spans="9:10">
      <c r="I238" s="78"/>
      <c r="J238" s="78"/>
    </row>
    <row r="239" spans="9:10">
      <c r="I239" s="78"/>
      <c r="J239" s="78"/>
    </row>
    <row r="240" spans="9:10">
      <c r="I240" s="78"/>
      <c r="J240" s="78"/>
    </row>
    <row r="241" spans="9:10">
      <c r="I241" s="78"/>
      <c r="J241" s="78"/>
    </row>
    <row r="242" spans="9:10">
      <c r="I242" s="78"/>
      <c r="J242" s="78"/>
    </row>
    <row r="243" spans="9:10">
      <c r="I243" s="78"/>
      <c r="J243" s="78"/>
    </row>
    <row r="244" spans="9:10">
      <c r="I244" s="78"/>
      <c r="J244" s="78"/>
    </row>
    <row r="245" spans="9:10">
      <c r="I245" s="78"/>
      <c r="J245" s="78"/>
    </row>
    <row r="246" spans="9:10">
      <c r="I246" s="78"/>
      <c r="J246" s="78"/>
    </row>
    <row r="247" spans="9:10">
      <c r="I247" s="78"/>
      <c r="J247" s="78"/>
    </row>
    <row r="248" spans="9:10">
      <c r="I248" s="78"/>
      <c r="J248" s="78"/>
    </row>
    <row r="249" spans="9:10">
      <c r="I249" s="78"/>
      <c r="J249" s="78"/>
    </row>
    <row r="250" spans="9:10">
      <c r="I250" s="78"/>
      <c r="J250" s="78"/>
    </row>
    <row r="251" spans="9:10">
      <c r="I251" s="78"/>
      <c r="J251" s="78"/>
    </row>
    <row r="252" spans="9:10">
      <c r="I252" s="78"/>
      <c r="J252" s="78"/>
    </row>
    <row r="253" spans="9:10">
      <c r="I253" s="78"/>
      <c r="J253" s="78"/>
    </row>
    <row r="254" spans="9:10">
      <c r="I254" s="78"/>
      <c r="J254" s="78"/>
    </row>
    <row r="255" spans="9:10">
      <c r="I255" s="78"/>
      <c r="J255" s="78"/>
    </row>
    <row r="256" spans="9:10">
      <c r="I256" s="78"/>
      <c r="J256" s="78"/>
    </row>
    <row r="257" spans="9:10">
      <c r="I257" s="78"/>
      <c r="J257" s="78"/>
    </row>
    <row r="258" spans="9:10">
      <c r="I258" s="78"/>
      <c r="J258" s="78"/>
    </row>
    <row r="259" spans="9:10">
      <c r="I259" s="78"/>
      <c r="J259" s="78"/>
    </row>
    <row r="260" spans="9:10">
      <c r="I260" s="78"/>
      <c r="J260" s="78"/>
    </row>
    <row r="261" spans="9:10">
      <c r="I261" s="78"/>
      <c r="J261" s="78"/>
    </row>
    <row r="262" spans="9:10">
      <c r="I262" s="78"/>
      <c r="J262" s="78"/>
    </row>
    <row r="263" spans="9:10">
      <c r="I263" s="78"/>
      <c r="J263" s="78"/>
    </row>
    <row r="264" spans="9:10">
      <c r="I264" s="78"/>
      <c r="J264" s="78"/>
    </row>
    <row r="265" spans="9:10">
      <c r="I265" s="78"/>
      <c r="J265" s="78"/>
    </row>
    <row r="266" spans="9:10">
      <c r="I266" s="78"/>
      <c r="J266" s="78"/>
    </row>
    <row r="267" spans="9:10">
      <c r="I267" s="78"/>
      <c r="J267" s="78"/>
    </row>
    <row r="268" spans="9:10">
      <c r="I268" s="78"/>
      <c r="J268" s="78"/>
    </row>
    <row r="269" spans="9:10">
      <c r="I269" s="78"/>
      <c r="J269" s="78"/>
    </row>
    <row r="270" spans="9:10">
      <c r="I270" s="78"/>
      <c r="J270" s="78"/>
    </row>
    <row r="271" spans="9:10">
      <c r="I271" s="78"/>
      <c r="J271" s="78"/>
    </row>
    <row r="272" spans="9:10">
      <c r="I272" s="78"/>
      <c r="J272" s="78"/>
    </row>
    <row r="273" spans="9:10">
      <c r="I273" s="78"/>
      <c r="J273" s="78"/>
    </row>
    <row r="274" spans="9:10">
      <c r="I274" s="78"/>
      <c r="J274" s="78"/>
    </row>
    <row r="275" spans="9:10">
      <c r="I275" s="78"/>
      <c r="J275" s="78"/>
    </row>
    <row r="276" spans="9:10">
      <c r="I276" s="78"/>
      <c r="J276" s="78"/>
    </row>
    <row r="277" spans="9:10">
      <c r="I277" s="78"/>
      <c r="J277" s="78"/>
    </row>
    <row r="278" spans="9:10">
      <c r="I278" s="78"/>
      <c r="J278" s="78"/>
    </row>
    <row r="279" spans="9:10">
      <c r="I279" s="78"/>
      <c r="J279" s="78"/>
    </row>
    <row r="280" spans="9:10">
      <c r="I280" s="78"/>
      <c r="J280" s="78"/>
    </row>
    <row r="281" spans="9:10">
      <c r="I281" s="78"/>
      <c r="J281" s="78"/>
    </row>
    <row r="282" spans="9:10">
      <c r="I282" s="78"/>
      <c r="J282" s="78"/>
    </row>
    <row r="283" spans="9:10">
      <c r="I283" s="78"/>
      <c r="J283" s="78"/>
    </row>
    <row r="284" spans="9:10">
      <c r="I284" s="78"/>
      <c r="J284" s="78"/>
    </row>
    <row r="285" spans="9:10">
      <c r="I285" s="78"/>
      <c r="J285" s="78"/>
    </row>
    <row r="286" spans="9:10">
      <c r="I286" s="78"/>
      <c r="J286" s="78"/>
    </row>
    <row r="287" spans="9:10">
      <c r="I287" s="78"/>
      <c r="J287" s="78"/>
    </row>
    <row r="288" spans="9:10">
      <c r="I288" s="78"/>
      <c r="J288" s="78"/>
    </row>
    <row r="289" spans="9:10">
      <c r="I289" s="78"/>
      <c r="J289" s="78"/>
    </row>
    <row r="290" spans="9:10">
      <c r="I290" s="78"/>
      <c r="J290" s="78"/>
    </row>
    <row r="291" spans="9:10">
      <c r="I291" s="78"/>
      <c r="J291" s="78"/>
    </row>
    <row r="292" spans="9:10">
      <c r="I292" s="78"/>
      <c r="J292" s="78"/>
    </row>
    <row r="293" spans="9:10">
      <c r="I293" s="78"/>
      <c r="J293" s="78"/>
    </row>
    <row r="294" spans="9:10">
      <c r="I294" s="78"/>
      <c r="J294" s="78"/>
    </row>
    <row r="295" spans="9:10">
      <c r="I295" s="78"/>
      <c r="J295" s="78"/>
    </row>
    <row r="296" spans="9:10">
      <c r="I296" s="78"/>
      <c r="J296" s="78"/>
    </row>
    <row r="297" spans="9:10">
      <c r="I297" s="78"/>
      <c r="J297" s="78"/>
    </row>
    <row r="298" spans="9:10">
      <c r="I298" s="78"/>
      <c r="J298" s="78"/>
    </row>
    <row r="299" spans="9:10">
      <c r="I299" s="78"/>
      <c r="J299" s="78"/>
    </row>
    <row r="300" spans="9:10">
      <c r="I300" s="78"/>
      <c r="J300" s="78"/>
    </row>
    <row r="301" spans="9:10">
      <c r="I301" s="78"/>
      <c r="J301" s="78"/>
    </row>
    <row r="302" spans="9:10">
      <c r="I302" s="78"/>
      <c r="J302" s="78"/>
    </row>
    <row r="303" spans="9:10">
      <c r="I303" s="78"/>
      <c r="J303" s="78"/>
    </row>
    <row r="304" spans="9:10">
      <c r="I304" s="78"/>
      <c r="J304" s="78"/>
    </row>
    <row r="305" spans="9:10">
      <c r="I305" s="78"/>
      <c r="J305" s="78"/>
    </row>
    <row r="306" spans="9:10">
      <c r="I306" s="78"/>
      <c r="J306" s="78"/>
    </row>
    <row r="307" spans="9:10">
      <c r="I307" s="78"/>
      <c r="J307" s="78"/>
    </row>
    <row r="308" spans="9:10">
      <c r="I308" s="78"/>
      <c r="J308" s="78"/>
    </row>
    <row r="309" spans="9:10">
      <c r="I309" s="78"/>
      <c r="J309" s="78"/>
    </row>
    <row r="310" spans="9:10">
      <c r="I310" s="78"/>
      <c r="J310" s="78"/>
    </row>
    <row r="311" spans="9:10">
      <c r="I311" s="78"/>
      <c r="J311" s="78"/>
    </row>
    <row r="312" spans="9:10">
      <c r="I312" s="78"/>
      <c r="J312" s="78"/>
    </row>
    <row r="313" spans="9:10">
      <c r="I313" s="78"/>
      <c r="J313" s="78"/>
    </row>
    <row r="314" spans="9:10">
      <c r="I314" s="78"/>
      <c r="J314" s="78"/>
    </row>
    <row r="315" spans="9:10">
      <c r="I315" s="78"/>
      <c r="J315" s="78"/>
    </row>
    <row r="316" spans="9:10">
      <c r="I316" s="78"/>
      <c r="J316" s="78"/>
    </row>
    <row r="317" spans="9:10">
      <c r="I317" s="78"/>
      <c r="J317" s="78"/>
    </row>
    <row r="318" spans="9:10">
      <c r="I318" s="78"/>
      <c r="J318" s="78"/>
    </row>
    <row r="319" spans="9:10">
      <c r="I319" s="78"/>
      <c r="J319" s="78"/>
    </row>
    <row r="320" spans="9:10">
      <c r="I320" s="78"/>
      <c r="J320" s="78"/>
    </row>
    <row r="321" spans="9:10">
      <c r="I321" s="78"/>
      <c r="J321" s="78"/>
    </row>
    <row r="322" spans="9:10">
      <c r="I322" s="78"/>
      <c r="J322" s="78"/>
    </row>
    <row r="323" spans="9:10">
      <c r="I323" s="78"/>
      <c r="J323" s="78"/>
    </row>
    <row r="324" spans="9:10">
      <c r="I324" s="78"/>
      <c r="J324" s="78"/>
    </row>
    <row r="325" spans="9:10">
      <c r="I325" s="78"/>
      <c r="J325" s="78"/>
    </row>
    <row r="326" spans="9:10">
      <c r="I326" s="78"/>
      <c r="J326" s="78"/>
    </row>
    <row r="327" spans="9:10">
      <c r="I327" s="78"/>
      <c r="J327" s="78"/>
    </row>
    <row r="328" spans="9:10">
      <c r="I328" s="78"/>
      <c r="J328" s="78"/>
    </row>
    <row r="329" spans="9:10">
      <c r="I329" s="78"/>
      <c r="J329" s="78"/>
    </row>
    <row r="330" spans="9:10">
      <c r="I330" s="78"/>
      <c r="J330" s="78"/>
    </row>
    <row r="331" spans="9:10">
      <c r="I331" s="78"/>
      <c r="J331" s="78"/>
    </row>
    <row r="332" spans="9:10">
      <c r="I332" s="78"/>
      <c r="J332" s="78"/>
    </row>
    <row r="333" spans="9:10">
      <c r="I333" s="78"/>
      <c r="J333" s="78"/>
    </row>
    <row r="334" spans="9:10">
      <c r="I334" s="78"/>
      <c r="J334" s="78"/>
    </row>
    <row r="335" spans="9:10">
      <c r="I335" s="78"/>
      <c r="J335" s="78"/>
    </row>
    <row r="336" spans="9:10">
      <c r="I336" s="78"/>
      <c r="J336" s="78"/>
    </row>
    <row r="337" spans="9:10">
      <c r="I337" s="78"/>
      <c r="J337" s="78"/>
    </row>
    <row r="338" spans="9:10">
      <c r="I338" s="78"/>
      <c r="J338" s="78"/>
    </row>
    <row r="339" spans="9:10">
      <c r="I339" s="78"/>
      <c r="J339" s="78"/>
    </row>
    <row r="340" spans="9:10">
      <c r="I340" s="78"/>
      <c r="J340" s="78"/>
    </row>
    <row r="341" spans="9:10">
      <c r="I341" s="78"/>
      <c r="J341" s="78"/>
    </row>
    <row r="342" spans="9:10">
      <c r="I342" s="78"/>
      <c r="J342" s="78"/>
    </row>
    <row r="343" spans="9:10">
      <c r="I343" s="78"/>
      <c r="J343" s="78"/>
    </row>
    <row r="344" spans="9:10">
      <c r="I344" s="78"/>
      <c r="J344" s="78"/>
    </row>
    <row r="345" spans="9:10">
      <c r="I345" s="78"/>
      <c r="J345" s="78"/>
    </row>
    <row r="346" spans="9:10">
      <c r="I346" s="78"/>
      <c r="J346" s="78"/>
    </row>
    <row r="347" spans="9:10">
      <c r="I347" s="78"/>
      <c r="J347" s="78"/>
    </row>
    <row r="348" spans="9:10">
      <c r="I348" s="78"/>
      <c r="J348" s="78"/>
    </row>
    <row r="349" spans="9:10">
      <c r="I349" s="78"/>
      <c r="J349" s="78"/>
    </row>
    <row r="350" spans="9:10">
      <c r="I350" s="78"/>
      <c r="J350" s="78"/>
    </row>
    <row r="351" spans="9:10">
      <c r="I351" s="78"/>
      <c r="J351" s="78"/>
    </row>
    <row r="352" spans="9:10">
      <c r="I352" s="78"/>
      <c r="J352" s="78"/>
    </row>
    <row r="353" spans="9:10">
      <c r="I353" s="78"/>
      <c r="J353" s="78"/>
    </row>
    <row r="354" spans="9:10">
      <c r="I354" s="78"/>
      <c r="J354" s="78"/>
    </row>
    <row r="355" spans="9:10">
      <c r="I355" s="78"/>
      <c r="J355" s="78"/>
    </row>
    <row r="356" spans="9:10">
      <c r="I356" s="78"/>
      <c r="J356" s="78"/>
    </row>
    <row r="357" spans="9:10">
      <c r="I357" s="78"/>
      <c r="J357" s="78"/>
    </row>
    <row r="358" spans="9:10">
      <c r="I358" s="78"/>
      <c r="J358" s="78"/>
    </row>
    <row r="359" spans="9:10">
      <c r="I359" s="78"/>
      <c r="J359" s="78"/>
    </row>
    <row r="360" spans="9:10">
      <c r="I360" s="78"/>
      <c r="J360" s="78"/>
    </row>
    <row r="361" spans="9:10">
      <c r="I361" s="78"/>
      <c r="J361" s="78"/>
    </row>
    <row r="362" spans="9:10">
      <c r="I362" s="78"/>
      <c r="J362" s="78"/>
    </row>
    <row r="363" spans="9:10">
      <c r="I363" s="78"/>
      <c r="J363" s="78"/>
    </row>
    <row r="364" spans="9:10">
      <c r="I364" s="78"/>
      <c r="J364" s="78"/>
    </row>
    <row r="365" spans="9:10">
      <c r="I365" s="78"/>
      <c r="J365" s="78"/>
    </row>
    <row r="366" spans="9:10">
      <c r="I366" s="78"/>
      <c r="J366" s="78"/>
    </row>
    <row r="367" spans="9:10">
      <c r="I367" s="78"/>
      <c r="J367" s="78"/>
    </row>
    <row r="368" spans="9:10">
      <c r="I368" s="78"/>
      <c r="J368" s="78"/>
    </row>
    <row r="369" spans="9:10">
      <c r="I369" s="78"/>
      <c r="J369" s="78"/>
    </row>
    <row r="370" spans="9:10">
      <c r="I370" s="78"/>
      <c r="J370" s="78"/>
    </row>
    <row r="371" spans="9:10">
      <c r="I371" s="78"/>
      <c r="J371" s="78"/>
    </row>
    <row r="372" spans="9:10">
      <c r="I372" s="78"/>
      <c r="J372" s="78"/>
    </row>
    <row r="373" spans="9:10">
      <c r="I373" s="78"/>
      <c r="J373" s="78"/>
    </row>
    <row r="374" spans="9:10">
      <c r="I374" s="78"/>
      <c r="J374" s="78"/>
    </row>
    <row r="375" spans="9:10">
      <c r="I375" s="78"/>
      <c r="J375" s="78"/>
    </row>
    <row r="376" spans="9:10">
      <c r="I376" s="78"/>
      <c r="J376" s="78"/>
    </row>
    <row r="377" spans="9:10">
      <c r="I377" s="78"/>
      <c r="J377" s="78"/>
    </row>
    <row r="378" spans="9:10">
      <c r="I378" s="78"/>
      <c r="J378" s="78"/>
    </row>
    <row r="379" spans="9:10">
      <c r="I379" s="78"/>
      <c r="J379" s="78"/>
    </row>
    <row r="380" spans="9:10">
      <c r="I380" s="78"/>
      <c r="J380" s="78"/>
    </row>
    <row r="381" spans="9:10">
      <c r="I381" s="78"/>
      <c r="J381" s="78"/>
    </row>
    <row r="382" spans="9:10">
      <c r="I382" s="78"/>
      <c r="J382" s="78"/>
    </row>
    <row r="383" spans="9:10">
      <c r="I383" s="78"/>
      <c r="J383" s="78"/>
    </row>
    <row r="384" spans="9:10">
      <c r="I384" s="78"/>
      <c r="J384" s="78"/>
    </row>
    <row r="385" spans="9:10">
      <c r="I385" s="78"/>
      <c r="J385" s="78"/>
    </row>
    <row r="386" spans="9:10">
      <c r="I386" s="78"/>
      <c r="J386" s="78"/>
    </row>
    <row r="387" spans="9:10">
      <c r="I387" s="78"/>
      <c r="J387" s="78"/>
    </row>
    <row r="388" spans="9:10">
      <c r="I388" s="78"/>
      <c r="J388" s="78"/>
    </row>
    <row r="389" spans="9:10">
      <c r="I389" s="78"/>
      <c r="J389" s="78"/>
    </row>
    <row r="390" spans="9:10">
      <c r="I390" s="78"/>
      <c r="J390" s="78"/>
    </row>
    <row r="391" spans="9:10">
      <c r="I391" s="78"/>
      <c r="J391" s="78"/>
    </row>
    <row r="392" spans="9:10">
      <c r="I392" s="78"/>
      <c r="J392" s="78"/>
    </row>
    <row r="393" spans="9:10">
      <c r="I393" s="78"/>
      <c r="J393" s="78"/>
    </row>
    <row r="394" spans="9:10">
      <c r="I394" s="78"/>
      <c r="J394" s="78"/>
    </row>
    <row r="395" spans="9:10">
      <c r="I395" s="78"/>
      <c r="J395" s="78"/>
    </row>
    <row r="396" spans="9:10">
      <c r="I396" s="78"/>
      <c r="J396" s="78"/>
    </row>
    <row r="397" spans="9:10">
      <c r="I397" s="78"/>
      <c r="J397" s="78"/>
    </row>
    <row r="398" spans="9:10">
      <c r="I398" s="78"/>
      <c r="J398" s="78"/>
    </row>
    <row r="399" spans="9:10">
      <c r="I399" s="78"/>
      <c r="J399" s="78"/>
    </row>
    <row r="400" spans="9:10">
      <c r="I400" s="78"/>
      <c r="J400" s="78"/>
    </row>
    <row r="401" spans="9:10">
      <c r="I401" s="78"/>
      <c r="J401" s="78"/>
    </row>
    <row r="402" spans="9:10">
      <c r="I402" s="78"/>
      <c r="J402" s="78"/>
    </row>
    <row r="403" spans="9:10">
      <c r="I403" s="78"/>
      <c r="J403" s="78"/>
    </row>
    <row r="404" spans="9:10">
      <c r="I404" s="78"/>
      <c r="J404" s="78"/>
    </row>
    <row r="405" spans="9:10">
      <c r="I405" s="78"/>
      <c r="J405" s="78"/>
    </row>
    <row r="406" spans="9:10">
      <c r="I406" s="78"/>
      <c r="J406" s="78"/>
    </row>
    <row r="407" spans="9:10">
      <c r="I407" s="78"/>
      <c r="J407" s="78"/>
    </row>
    <row r="408" spans="9:10">
      <c r="I408" s="78"/>
      <c r="J408" s="78"/>
    </row>
    <row r="409" spans="9:10">
      <c r="I409" s="78"/>
      <c r="J409" s="78"/>
    </row>
    <row r="410" spans="9:10">
      <c r="I410" s="78"/>
      <c r="J410" s="78"/>
    </row>
    <row r="411" spans="9:10">
      <c r="I411" s="78"/>
      <c r="J411" s="78"/>
    </row>
    <row r="412" spans="9:10">
      <c r="I412" s="78"/>
      <c r="J412" s="78"/>
    </row>
    <row r="413" spans="9:10">
      <c r="I413" s="78"/>
      <c r="J413" s="78"/>
    </row>
    <row r="414" spans="9:10">
      <c r="I414" s="78"/>
      <c r="J414" s="78"/>
    </row>
    <row r="415" spans="9:10">
      <c r="I415" s="78"/>
      <c r="J415" s="78"/>
    </row>
    <row r="416" spans="9:10">
      <c r="I416" s="78"/>
      <c r="J416" s="78"/>
    </row>
    <row r="417" spans="9:10">
      <c r="I417" s="78"/>
      <c r="J417" s="78"/>
    </row>
    <row r="418" spans="9:10">
      <c r="I418" s="78"/>
      <c r="J418" s="78"/>
    </row>
    <row r="419" spans="9:10">
      <c r="I419" s="78"/>
      <c r="J419" s="78"/>
    </row>
    <row r="420" spans="9:10">
      <c r="I420" s="78"/>
      <c r="J420" s="78"/>
    </row>
    <row r="421" spans="9:10">
      <c r="I421" s="78"/>
      <c r="J421" s="78"/>
    </row>
    <row r="422" spans="9:10">
      <c r="I422" s="78"/>
      <c r="J422" s="78"/>
    </row>
    <row r="423" spans="9:10">
      <c r="I423" s="78"/>
      <c r="J423" s="78"/>
    </row>
    <row r="424" spans="9:10">
      <c r="I424" s="78"/>
      <c r="J424" s="78"/>
    </row>
    <row r="425" spans="9:10">
      <c r="I425" s="78"/>
      <c r="J425" s="78"/>
    </row>
    <row r="426" spans="9:10">
      <c r="I426" s="78"/>
      <c r="J426" s="78"/>
    </row>
    <row r="427" spans="9:10">
      <c r="I427" s="78"/>
      <c r="J427" s="78"/>
    </row>
    <row r="428" spans="9:10">
      <c r="I428" s="78"/>
      <c r="J428" s="78"/>
    </row>
    <row r="429" spans="9:10">
      <c r="I429" s="78"/>
      <c r="J429" s="78"/>
    </row>
    <row r="430" spans="9:10">
      <c r="I430" s="78"/>
      <c r="J430" s="78"/>
    </row>
    <row r="431" spans="9:10">
      <c r="I431" s="78"/>
      <c r="J431" s="78"/>
    </row>
    <row r="432" spans="9:10">
      <c r="I432" s="78"/>
      <c r="J432" s="78"/>
    </row>
    <row r="433" spans="9:10">
      <c r="I433" s="78"/>
      <c r="J433" s="78"/>
    </row>
    <row r="434" spans="9:10">
      <c r="I434" s="78"/>
      <c r="J434" s="78"/>
    </row>
    <row r="435" spans="9:10">
      <c r="I435" s="78"/>
      <c r="J435" s="78"/>
    </row>
    <row r="436" spans="9:10">
      <c r="I436" s="78"/>
      <c r="J436" s="78"/>
    </row>
    <row r="437" spans="9:10">
      <c r="I437" s="78"/>
      <c r="J437" s="78"/>
    </row>
    <row r="438" spans="9:10">
      <c r="I438" s="78"/>
      <c r="J438" s="78"/>
    </row>
    <row r="439" spans="9:10">
      <c r="I439" s="78"/>
      <c r="J439" s="78"/>
    </row>
    <row r="440" spans="9:10">
      <c r="I440" s="78"/>
      <c r="J440" s="78"/>
    </row>
    <row r="441" spans="9:10">
      <c r="I441" s="78"/>
      <c r="J441" s="78"/>
    </row>
    <row r="442" spans="9:10">
      <c r="I442" s="78"/>
      <c r="J442" s="78"/>
    </row>
    <row r="443" spans="9:10">
      <c r="I443" s="78"/>
      <c r="J443" s="78"/>
    </row>
    <row r="444" spans="9:10">
      <c r="I444" s="78"/>
      <c r="J444" s="78"/>
    </row>
    <row r="445" spans="9:10">
      <c r="I445" s="78"/>
      <c r="J445" s="78"/>
    </row>
    <row r="446" spans="9:10">
      <c r="I446" s="78"/>
      <c r="J446" s="78"/>
    </row>
    <row r="447" spans="9:10">
      <c r="I447" s="78"/>
      <c r="J447" s="78"/>
    </row>
    <row r="448" spans="9:10">
      <c r="I448" s="78"/>
      <c r="J448" s="78"/>
    </row>
    <row r="449" spans="9:10">
      <c r="I449" s="78"/>
      <c r="J449" s="78"/>
    </row>
    <row r="450" spans="9:10">
      <c r="I450" s="78"/>
      <c r="J450" s="78"/>
    </row>
    <row r="451" spans="9:10">
      <c r="I451" s="78"/>
      <c r="J451" s="78"/>
    </row>
    <row r="452" spans="9:10">
      <c r="I452" s="78"/>
      <c r="J452" s="78"/>
    </row>
    <row r="453" spans="9:10">
      <c r="I453" s="78"/>
      <c r="J453" s="78"/>
    </row>
    <row r="454" spans="9:10">
      <c r="I454" s="78"/>
      <c r="J454" s="78"/>
    </row>
    <row r="455" spans="9:10">
      <c r="I455" s="78"/>
      <c r="J455" s="78"/>
    </row>
    <row r="456" spans="9:10">
      <c r="I456" s="78"/>
      <c r="J456" s="78"/>
    </row>
    <row r="457" spans="9:10">
      <c r="I457" s="78"/>
      <c r="J457" s="78"/>
    </row>
    <row r="458" spans="9:10">
      <c r="I458" s="78"/>
      <c r="J458" s="78"/>
    </row>
    <row r="459" spans="9:10">
      <c r="I459" s="78"/>
      <c r="J459" s="78"/>
    </row>
    <row r="460" spans="9:10">
      <c r="I460" s="78"/>
      <c r="J460" s="78"/>
    </row>
    <row r="461" spans="9:10">
      <c r="I461" s="78"/>
      <c r="J461" s="78"/>
    </row>
    <row r="462" spans="9:10">
      <c r="I462" s="78"/>
      <c r="J462" s="78"/>
    </row>
    <row r="463" spans="9:10">
      <c r="I463" s="78"/>
      <c r="J463" s="78"/>
    </row>
    <row r="464" spans="9:10">
      <c r="I464" s="78"/>
      <c r="J464" s="78"/>
    </row>
    <row r="465" spans="9:10">
      <c r="I465" s="78"/>
      <c r="J465" s="78"/>
    </row>
    <row r="466" spans="9:10">
      <c r="I466" s="78"/>
      <c r="J466" s="78"/>
    </row>
    <row r="467" spans="9:10">
      <c r="I467" s="78"/>
      <c r="J467" s="78"/>
    </row>
    <row r="468" spans="9:10">
      <c r="I468" s="78"/>
      <c r="J468" s="78"/>
    </row>
    <row r="469" spans="9:10">
      <c r="I469" s="78"/>
      <c r="J469" s="78"/>
    </row>
    <row r="470" spans="9:10">
      <c r="I470" s="78"/>
      <c r="J470" s="78"/>
    </row>
    <row r="471" spans="9:10">
      <c r="I471" s="78"/>
      <c r="J471" s="78"/>
    </row>
    <row r="472" spans="9:10">
      <c r="I472" s="78"/>
      <c r="J472" s="78"/>
    </row>
    <row r="473" spans="9:10">
      <c r="I473" s="78"/>
      <c r="J473" s="78"/>
    </row>
    <row r="474" spans="9:10">
      <c r="I474" s="78"/>
      <c r="J474" s="78"/>
    </row>
    <row r="475" spans="9:10">
      <c r="I475" s="78"/>
      <c r="J475" s="78"/>
    </row>
    <row r="476" spans="9:10">
      <c r="I476" s="78"/>
      <c r="J476" s="78"/>
    </row>
    <row r="477" spans="9:10">
      <c r="I477" s="78"/>
      <c r="J477" s="78"/>
    </row>
    <row r="478" spans="9:10">
      <c r="I478" s="78"/>
      <c r="J478" s="78"/>
    </row>
    <row r="479" spans="9:10">
      <c r="I479" s="78"/>
      <c r="J479" s="78"/>
    </row>
    <row r="480" spans="9:10">
      <c r="I480" s="78"/>
      <c r="J480" s="78"/>
    </row>
    <row r="481" spans="9:10">
      <c r="I481" s="78"/>
      <c r="J481" s="78"/>
    </row>
    <row r="482" spans="9:10">
      <c r="I482" s="78"/>
      <c r="J482" s="78"/>
    </row>
    <row r="483" spans="9:10">
      <c r="I483" s="78"/>
      <c r="J483" s="78"/>
    </row>
    <row r="484" spans="9:10">
      <c r="I484" s="78"/>
      <c r="J484" s="78"/>
    </row>
    <row r="485" spans="9:10">
      <c r="I485" s="78"/>
      <c r="J485" s="78"/>
    </row>
    <row r="486" spans="9:10">
      <c r="I486" s="78"/>
      <c r="J486" s="78"/>
    </row>
    <row r="487" spans="9:10">
      <c r="I487" s="78"/>
      <c r="J487" s="78"/>
    </row>
    <row r="488" spans="9:10">
      <c r="I488" s="78"/>
      <c r="J488" s="78"/>
    </row>
    <row r="489" spans="9:10">
      <c r="I489" s="78"/>
      <c r="J489" s="78"/>
    </row>
    <row r="490" spans="9:10">
      <c r="I490" s="78"/>
      <c r="J490" s="78"/>
    </row>
    <row r="491" spans="9:10">
      <c r="I491" s="78"/>
      <c r="J491" s="78"/>
    </row>
    <row r="492" spans="9:10">
      <c r="I492" s="78"/>
      <c r="J492" s="78"/>
    </row>
    <row r="493" spans="9:10">
      <c r="I493" s="78"/>
      <c r="J493" s="78"/>
    </row>
    <row r="494" spans="9:10">
      <c r="I494" s="78"/>
      <c r="J494" s="78"/>
    </row>
    <row r="495" spans="9:10">
      <c r="I495" s="78"/>
      <c r="J495" s="78"/>
    </row>
    <row r="496" spans="9:10">
      <c r="I496" s="78"/>
      <c r="J496" s="78"/>
    </row>
    <row r="497" spans="9:10">
      <c r="I497" s="78"/>
      <c r="J497" s="78"/>
    </row>
    <row r="498" spans="9:10">
      <c r="I498" s="78"/>
      <c r="J498" s="78"/>
    </row>
    <row r="499" spans="9:10">
      <c r="I499" s="78"/>
      <c r="J499" s="78"/>
    </row>
    <row r="500" spans="9:10">
      <c r="I500" s="78"/>
      <c r="J500" s="78"/>
    </row>
    <row r="501" spans="9:10">
      <c r="I501" s="78"/>
      <c r="J501" s="78"/>
    </row>
    <row r="502" spans="9:10">
      <c r="I502" s="78"/>
      <c r="J502" s="78"/>
    </row>
    <row r="503" spans="9:10">
      <c r="I503" s="78"/>
      <c r="J503" s="78"/>
    </row>
    <row r="504" spans="9:10">
      <c r="I504" s="78"/>
      <c r="J504" s="78"/>
    </row>
    <row r="505" spans="9:10">
      <c r="I505" s="78"/>
      <c r="J505" s="78"/>
    </row>
    <row r="506" spans="9:10">
      <c r="I506" s="78"/>
      <c r="J506" s="78"/>
    </row>
    <row r="507" spans="9:10">
      <c r="I507" s="78"/>
      <c r="J507" s="78"/>
    </row>
    <row r="508" spans="9:10">
      <c r="I508" s="78"/>
      <c r="J508" s="78"/>
    </row>
    <row r="509" spans="9:10">
      <c r="I509" s="78"/>
      <c r="J509" s="78"/>
    </row>
    <row r="510" spans="9:10">
      <c r="I510" s="78"/>
      <c r="J510" s="78"/>
    </row>
    <row r="511" spans="9:10">
      <c r="I511" s="78"/>
      <c r="J511" s="78"/>
    </row>
    <row r="512" spans="9:10">
      <c r="I512" s="78"/>
      <c r="J512" s="78"/>
    </row>
    <row r="513" spans="9:10">
      <c r="I513" s="78"/>
      <c r="J513" s="78"/>
    </row>
    <row r="514" spans="9:10">
      <c r="I514" s="78"/>
      <c r="J514" s="78"/>
    </row>
    <row r="515" spans="9:10">
      <c r="I515" s="78"/>
      <c r="J515" s="78"/>
    </row>
    <row r="516" spans="9:10">
      <c r="I516" s="78"/>
      <c r="J516" s="78"/>
    </row>
    <row r="517" spans="9:10">
      <c r="I517" s="78"/>
      <c r="J517" s="78"/>
    </row>
    <row r="518" spans="9:10">
      <c r="I518" s="78"/>
      <c r="J518" s="78"/>
    </row>
    <row r="519" spans="9:10">
      <c r="I519" s="78"/>
      <c r="J519" s="78"/>
    </row>
    <row r="520" spans="9:10">
      <c r="I520" s="78"/>
      <c r="J520" s="78"/>
    </row>
    <row r="521" spans="9:10">
      <c r="I521" s="78"/>
      <c r="J521" s="78"/>
    </row>
    <row r="522" spans="9:10">
      <c r="I522" s="78"/>
      <c r="J522" s="78"/>
    </row>
    <row r="523" spans="9:10">
      <c r="I523" s="78"/>
      <c r="J523" s="78"/>
    </row>
    <row r="524" spans="9:10">
      <c r="I524" s="78"/>
      <c r="J524" s="78"/>
    </row>
    <row r="525" spans="9:10">
      <c r="I525" s="78"/>
      <c r="J525" s="78"/>
    </row>
    <row r="526" spans="9:10">
      <c r="I526" s="78"/>
      <c r="J526" s="78"/>
    </row>
    <row r="527" spans="9:10">
      <c r="I527" s="78"/>
      <c r="J527" s="78"/>
    </row>
    <row r="528" spans="9:10">
      <c r="I528" s="78"/>
      <c r="J528" s="78"/>
    </row>
    <row r="529" spans="9:10">
      <c r="I529" s="78"/>
      <c r="J529" s="78"/>
    </row>
    <row r="530" spans="9:10">
      <c r="I530" s="78"/>
      <c r="J530" s="78"/>
    </row>
    <row r="531" spans="9:10">
      <c r="I531" s="78"/>
      <c r="J531" s="78"/>
    </row>
    <row r="532" spans="9:10">
      <c r="I532" s="78"/>
      <c r="J532" s="78"/>
    </row>
    <row r="533" spans="9:10">
      <c r="I533" s="78"/>
      <c r="J533" s="78"/>
    </row>
    <row r="534" spans="9:10">
      <c r="I534" s="78"/>
      <c r="J534" s="78"/>
    </row>
    <row r="535" spans="9:10">
      <c r="I535" s="78"/>
      <c r="J535" s="78"/>
    </row>
    <row r="536" spans="9:10">
      <c r="I536" s="78"/>
      <c r="J536" s="78"/>
    </row>
    <row r="537" spans="9:10">
      <c r="I537" s="78"/>
      <c r="J537" s="78"/>
    </row>
    <row r="538" spans="9:10">
      <c r="I538" s="78"/>
      <c r="J538" s="78"/>
    </row>
    <row r="539" spans="9:10">
      <c r="I539" s="78"/>
      <c r="J539" s="78"/>
    </row>
    <row r="540" spans="9:10">
      <c r="I540" s="78"/>
      <c r="J540" s="78"/>
    </row>
    <row r="541" spans="9:10">
      <c r="I541" s="78"/>
      <c r="J541" s="78"/>
    </row>
    <row r="542" spans="9:10">
      <c r="I542" s="78"/>
      <c r="J542" s="78"/>
    </row>
    <row r="543" spans="9:10">
      <c r="I543" s="78"/>
      <c r="J543" s="78"/>
    </row>
    <row r="544" spans="9:10">
      <c r="I544" s="78"/>
      <c r="J544" s="78"/>
    </row>
    <row r="545" spans="9:10">
      <c r="I545" s="78"/>
      <c r="J545" s="78"/>
    </row>
    <row r="546" spans="9:10">
      <c r="I546" s="78"/>
      <c r="J546" s="78"/>
    </row>
    <row r="547" spans="9:10">
      <c r="I547" s="78"/>
      <c r="J547" s="78"/>
    </row>
    <row r="548" spans="9:10">
      <c r="I548" s="78"/>
      <c r="J548" s="78"/>
    </row>
    <row r="549" spans="9:10">
      <c r="I549" s="78"/>
      <c r="J549" s="78"/>
    </row>
    <row r="550" spans="9:10">
      <c r="I550" s="78"/>
      <c r="J550" s="78"/>
    </row>
    <row r="551" spans="9:10">
      <c r="I551" s="78"/>
      <c r="J551" s="78"/>
    </row>
    <row r="552" spans="9:10">
      <c r="I552" s="78"/>
      <c r="J552" s="78"/>
    </row>
    <row r="553" spans="9:10">
      <c r="I553" s="78"/>
      <c r="J553" s="78"/>
    </row>
    <row r="554" spans="9:10">
      <c r="I554" s="78"/>
      <c r="J554" s="78"/>
    </row>
    <row r="555" spans="9:10">
      <c r="I555" s="78"/>
      <c r="J555" s="78"/>
    </row>
    <row r="556" spans="9:10">
      <c r="I556" s="78"/>
      <c r="J556" s="78"/>
    </row>
    <row r="557" spans="9:10">
      <c r="I557" s="78"/>
      <c r="J557" s="78"/>
    </row>
    <row r="558" spans="9:10">
      <c r="I558" s="78"/>
      <c r="J558" s="78"/>
    </row>
    <row r="559" spans="9:10">
      <c r="I559" s="78"/>
      <c r="J559" s="78"/>
    </row>
    <row r="560" spans="9:10">
      <c r="I560" s="78"/>
      <c r="J560" s="78"/>
    </row>
    <row r="561" spans="9:10">
      <c r="I561" s="78"/>
      <c r="J561" s="78"/>
    </row>
    <row r="562" spans="9:10">
      <c r="I562" s="78"/>
      <c r="J562" s="78"/>
    </row>
    <row r="563" spans="9:10">
      <c r="I563" s="78"/>
      <c r="J563" s="78"/>
    </row>
    <row r="564" spans="9:10">
      <c r="I564" s="78"/>
      <c r="J564" s="78"/>
    </row>
    <row r="565" spans="9:10">
      <c r="I565" s="78"/>
      <c r="J565" s="78"/>
    </row>
    <row r="566" spans="9:10">
      <c r="I566" s="78"/>
      <c r="J566" s="78"/>
    </row>
    <row r="567" spans="9:10">
      <c r="I567" s="78"/>
      <c r="J567" s="78"/>
    </row>
    <row r="568" spans="9:10">
      <c r="I568" s="78"/>
      <c r="J568" s="78"/>
    </row>
    <row r="569" spans="9:10">
      <c r="I569" s="78"/>
      <c r="J569" s="78"/>
    </row>
    <row r="570" spans="9:10">
      <c r="I570" s="78"/>
      <c r="J570" s="78"/>
    </row>
    <row r="571" spans="9:10">
      <c r="I571" s="78"/>
      <c r="J571" s="78"/>
    </row>
    <row r="572" spans="9:10">
      <c r="I572" s="78"/>
      <c r="J572" s="78"/>
    </row>
    <row r="573" spans="9:10">
      <c r="I573" s="78"/>
      <c r="J573" s="78"/>
    </row>
    <row r="574" spans="9:10">
      <c r="I574" s="78"/>
      <c r="J574" s="78"/>
    </row>
    <row r="575" spans="9:10">
      <c r="I575" s="78"/>
      <c r="J575" s="78"/>
    </row>
    <row r="576" spans="9:10">
      <c r="I576" s="78"/>
      <c r="J576" s="78"/>
    </row>
    <row r="577" spans="9:10">
      <c r="I577" s="78"/>
      <c r="J577" s="78"/>
    </row>
    <row r="578" spans="9:10">
      <c r="I578" s="78"/>
      <c r="J578" s="78"/>
    </row>
    <row r="579" spans="9:10">
      <c r="I579" s="78"/>
      <c r="J579" s="78"/>
    </row>
    <row r="580" spans="9:10">
      <c r="I580" s="78"/>
      <c r="J580" s="78"/>
    </row>
    <row r="581" spans="9:10">
      <c r="I581" s="78"/>
      <c r="J581" s="78"/>
    </row>
    <row r="582" spans="9:10">
      <c r="I582" s="78"/>
      <c r="J582" s="78"/>
    </row>
    <row r="583" spans="9:10">
      <c r="I583" s="78"/>
      <c r="J583" s="78"/>
    </row>
    <row r="584" spans="9:10">
      <c r="I584" s="78"/>
      <c r="J584" s="78"/>
    </row>
    <row r="585" spans="9:10">
      <c r="I585" s="78"/>
      <c r="J585" s="78"/>
    </row>
    <row r="586" spans="9:10">
      <c r="I586" s="78"/>
      <c r="J586" s="78"/>
    </row>
    <row r="587" spans="9:10">
      <c r="I587" s="78"/>
      <c r="J587" s="78"/>
    </row>
    <row r="588" spans="9:10">
      <c r="I588" s="78"/>
      <c r="J588" s="78"/>
    </row>
    <row r="589" spans="9:10">
      <c r="I589" s="78"/>
      <c r="J589" s="78"/>
    </row>
    <row r="590" spans="9:10">
      <c r="I590" s="78"/>
      <c r="J590" s="78"/>
    </row>
    <row r="591" spans="9:10">
      <c r="I591" s="78"/>
      <c r="J591" s="78"/>
    </row>
    <row r="592" spans="9:10">
      <c r="I592" s="78"/>
      <c r="J592" s="78"/>
    </row>
    <row r="593" spans="9:10">
      <c r="I593" s="78"/>
      <c r="J593" s="78"/>
    </row>
    <row r="594" spans="9:10">
      <c r="I594" s="78"/>
      <c r="J594" s="78"/>
    </row>
    <row r="595" spans="9:10">
      <c r="I595" s="78"/>
      <c r="J595" s="78"/>
    </row>
    <row r="596" spans="9:10">
      <c r="I596" s="78"/>
      <c r="J596" s="78"/>
    </row>
    <row r="597" spans="9:10">
      <c r="I597" s="78"/>
      <c r="J597" s="78"/>
    </row>
    <row r="598" spans="9:10">
      <c r="I598" s="78"/>
      <c r="J598" s="78"/>
    </row>
    <row r="599" spans="9:10">
      <c r="I599" s="78"/>
      <c r="J599" s="78"/>
    </row>
    <row r="600" spans="9:10">
      <c r="I600" s="78"/>
      <c r="J600" s="78"/>
    </row>
    <row r="601" spans="9:10">
      <c r="I601" s="78"/>
      <c r="J601" s="78"/>
    </row>
    <row r="602" spans="9:10">
      <c r="I602" s="78"/>
      <c r="J602" s="78"/>
    </row>
    <row r="603" spans="9:10">
      <c r="I603" s="78"/>
      <c r="J603" s="78"/>
    </row>
    <row r="604" spans="9:10">
      <c r="I604" s="78"/>
      <c r="J604" s="78"/>
    </row>
    <row r="605" spans="9:10">
      <c r="I605" s="78"/>
      <c r="J605" s="78"/>
    </row>
    <row r="606" spans="9:10">
      <c r="I606" s="78"/>
      <c r="J606" s="78"/>
    </row>
    <row r="607" spans="9:10">
      <c r="I607" s="78"/>
      <c r="J607" s="78"/>
    </row>
    <row r="608" spans="9:10">
      <c r="I608" s="78"/>
      <c r="J608" s="78"/>
    </row>
    <row r="609" spans="9:10">
      <c r="I609" s="78"/>
      <c r="J609" s="78"/>
    </row>
    <row r="610" spans="9:10">
      <c r="I610" s="78"/>
      <c r="J610" s="78"/>
    </row>
    <row r="611" spans="9:10">
      <c r="I611" s="78"/>
      <c r="J611" s="78"/>
    </row>
    <row r="612" spans="9:10">
      <c r="I612" s="78"/>
      <c r="J612" s="78"/>
    </row>
    <row r="613" spans="9:10">
      <c r="I613" s="78"/>
      <c r="J613" s="78"/>
    </row>
    <row r="614" spans="9:10">
      <c r="I614" s="78"/>
      <c r="J614" s="78"/>
    </row>
    <row r="615" spans="9:10">
      <c r="I615" s="78"/>
      <c r="J615" s="78"/>
    </row>
    <row r="616" spans="9:10">
      <c r="I616" s="78"/>
      <c r="J616" s="78"/>
    </row>
    <row r="617" spans="9:10">
      <c r="I617" s="78"/>
      <c r="J617" s="78"/>
    </row>
    <row r="618" spans="9:10">
      <c r="I618" s="78"/>
      <c r="J618" s="78"/>
    </row>
    <row r="619" spans="9:10">
      <c r="I619" s="78"/>
      <c r="J619" s="78"/>
    </row>
    <row r="620" spans="9:10">
      <c r="I620" s="78"/>
      <c r="J620" s="78"/>
    </row>
    <row r="621" spans="9:10">
      <c r="I621" s="78"/>
      <c r="J621" s="78"/>
    </row>
    <row r="622" spans="9:10">
      <c r="I622" s="78"/>
      <c r="J622" s="78"/>
    </row>
    <row r="623" spans="9:10">
      <c r="I623" s="78"/>
      <c r="J623" s="78"/>
    </row>
    <row r="624" spans="9:10">
      <c r="I624" s="78"/>
      <c r="J624" s="78"/>
    </row>
    <row r="625" spans="9:10">
      <c r="I625" s="78"/>
      <c r="J625" s="78"/>
    </row>
    <row r="626" spans="9:10">
      <c r="I626" s="78"/>
      <c r="J626" s="78"/>
    </row>
    <row r="627" spans="9:10">
      <c r="I627" s="78"/>
      <c r="J627" s="78"/>
    </row>
    <row r="628" spans="9:10">
      <c r="I628" s="78"/>
      <c r="J628" s="78"/>
    </row>
    <row r="629" spans="9:10">
      <c r="I629" s="78"/>
      <c r="J629" s="78"/>
    </row>
    <row r="630" spans="9:10">
      <c r="I630" s="78"/>
      <c r="J630" s="78"/>
    </row>
    <row r="631" spans="9:10">
      <c r="I631" s="78"/>
      <c r="J631" s="78"/>
    </row>
    <row r="632" spans="9:10">
      <c r="I632" s="78"/>
      <c r="J632" s="78"/>
    </row>
    <row r="633" spans="9:10">
      <c r="I633" s="78"/>
      <c r="J633" s="78"/>
    </row>
    <row r="634" spans="9:10">
      <c r="I634" s="78"/>
      <c r="J634" s="78"/>
    </row>
    <row r="635" spans="9:10">
      <c r="I635" s="78"/>
      <c r="J635" s="78"/>
    </row>
    <row r="636" spans="9:10">
      <c r="I636" s="78"/>
      <c r="J636" s="78"/>
    </row>
    <row r="637" spans="9:10">
      <c r="I637" s="78"/>
      <c r="J637" s="78"/>
    </row>
    <row r="638" spans="9:10">
      <c r="I638" s="78"/>
      <c r="J638" s="78"/>
    </row>
    <row r="639" spans="9:10">
      <c r="I639" s="78"/>
      <c r="J639" s="78"/>
    </row>
    <row r="640" spans="9:10">
      <c r="I640" s="78"/>
      <c r="J640" s="78"/>
    </row>
    <row r="641" spans="9:10">
      <c r="I641" s="78"/>
      <c r="J641" s="78"/>
    </row>
    <row r="642" spans="9:10">
      <c r="I642" s="78"/>
      <c r="J642" s="78"/>
    </row>
    <row r="643" spans="9:10">
      <c r="I643" s="78"/>
      <c r="J643" s="78"/>
    </row>
    <row r="644" spans="9:10">
      <c r="I644" s="78"/>
      <c r="J644" s="78"/>
    </row>
    <row r="645" spans="9:10">
      <c r="I645" s="78"/>
      <c r="J645" s="78"/>
    </row>
    <row r="646" spans="9:10">
      <c r="I646" s="78"/>
      <c r="J646" s="78"/>
    </row>
    <row r="647" spans="9:10">
      <c r="I647" s="78"/>
      <c r="J647" s="78"/>
    </row>
    <row r="648" spans="9:10">
      <c r="I648" s="78"/>
      <c r="J648" s="78"/>
    </row>
    <row r="649" spans="9:10">
      <c r="I649" s="78"/>
      <c r="J649" s="78"/>
    </row>
    <row r="650" spans="9:10">
      <c r="I650" s="78"/>
      <c r="J650" s="78"/>
    </row>
    <row r="651" spans="9:10">
      <c r="I651" s="78"/>
      <c r="J651" s="78"/>
    </row>
    <row r="652" spans="9:10">
      <c r="I652" s="78"/>
      <c r="J652" s="78"/>
    </row>
    <row r="653" spans="9:10">
      <c r="I653" s="78"/>
      <c r="J653" s="78"/>
    </row>
    <row r="654" spans="9:10">
      <c r="I654" s="78"/>
      <c r="J654" s="78"/>
    </row>
    <row r="655" spans="9:10">
      <c r="I655" s="78"/>
      <c r="J655" s="78"/>
    </row>
    <row r="656" spans="9:10">
      <c r="I656" s="78"/>
      <c r="J656" s="78"/>
    </row>
    <row r="657" spans="9:10">
      <c r="I657" s="78"/>
      <c r="J657" s="78"/>
    </row>
    <row r="658" spans="9:10">
      <c r="I658" s="78"/>
      <c r="J658" s="78"/>
    </row>
    <row r="659" spans="9:10">
      <c r="I659" s="78"/>
      <c r="J659" s="78"/>
    </row>
    <row r="660" spans="9:10">
      <c r="I660" s="78"/>
      <c r="J660" s="78"/>
    </row>
    <row r="661" spans="9:10">
      <c r="I661" s="78"/>
      <c r="J661" s="78"/>
    </row>
    <row r="662" spans="9:10">
      <c r="I662" s="78"/>
      <c r="J662" s="78"/>
    </row>
    <row r="663" spans="9:10">
      <c r="I663" s="78"/>
      <c r="J663" s="78"/>
    </row>
    <row r="664" spans="9:10">
      <c r="I664" s="78"/>
      <c r="J664" s="78"/>
    </row>
    <row r="665" spans="9:10">
      <c r="I665" s="78"/>
      <c r="J665" s="78"/>
    </row>
    <row r="666" spans="9:10">
      <c r="I666" s="78"/>
      <c r="J666" s="78"/>
    </row>
    <row r="667" spans="9:10">
      <c r="I667" s="78"/>
      <c r="J667" s="78"/>
    </row>
    <row r="668" spans="9:10">
      <c r="I668" s="78"/>
      <c r="J668" s="78"/>
    </row>
    <row r="669" spans="9:10">
      <c r="I669" s="78"/>
      <c r="J669" s="78"/>
    </row>
    <row r="670" spans="9:10">
      <c r="I670" s="78"/>
      <c r="J670" s="78"/>
    </row>
    <row r="671" spans="9:10">
      <c r="I671" s="78"/>
      <c r="J671" s="78"/>
    </row>
    <row r="672" spans="9:10">
      <c r="I672" s="78"/>
      <c r="J672" s="78"/>
    </row>
    <row r="673" spans="9:10">
      <c r="I673" s="78"/>
      <c r="J673" s="78"/>
    </row>
    <row r="674" spans="9:10">
      <c r="I674" s="78"/>
      <c r="J674" s="78"/>
    </row>
    <row r="675" spans="9:10">
      <c r="I675" s="78"/>
      <c r="J675" s="78"/>
    </row>
    <row r="676" spans="9:10">
      <c r="I676" s="78"/>
      <c r="J676" s="78"/>
    </row>
    <row r="677" spans="9:10">
      <c r="I677" s="78"/>
      <c r="J677" s="78"/>
    </row>
    <row r="678" spans="9:10">
      <c r="I678" s="78"/>
      <c r="J678" s="78"/>
    </row>
    <row r="679" spans="9:10">
      <c r="I679" s="78"/>
      <c r="J679" s="78"/>
    </row>
    <row r="680" spans="9:10">
      <c r="I680" s="78"/>
      <c r="J680" s="78"/>
    </row>
    <row r="681" spans="9:10">
      <c r="I681" s="78"/>
      <c r="J681" s="78"/>
    </row>
    <row r="682" spans="9:10">
      <c r="I682" s="78"/>
      <c r="J682" s="78"/>
    </row>
    <row r="683" spans="9:10">
      <c r="I683" s="78"/>
      <c r="J683" s="78"/>
    </row>
    <row r="684" spans="9:10">
      <c r="I684" s="78"/>
      <c r="J684" s="78"/>
    </row>
    <row r="685" spans="9:10">
      <c r="I685" s="78"/>
      <c r="J685" s="78"/>
    </row>
    <row r="686" spans="9:10">
      <c r="I686" s="78"/>
      <c r="J686" s="78"/>
    </row>
    <row r="687" spans="9:10">
      <c r="I687" s="78"/>
      <c r="J687" s="78"/>
    </row>
    <row r="688" spans="9:10">
      <c r="I688" s="78"/>
      <c r="J688" s="78"/>
    </row>
    <row r="689" spans="9:10">
      <c r="I689" s="78"/>
      <c r="J689" s="78"/>
    </row>
    <row r="690" spans="9:10">
      <c r="I690" s="78"/>
      <c r="J690" s="78"/>
    </row>
    <row r="691" spans="9:10">
      <c r="I691" s="78"/>
      <c r="J691" s="78"/>
    </row>
    <row r="692" spans="9:10">
      <c r="I692" s="78"/>
      <c r="J692" s="78"/>
    </row>
    <row r="693" spans="9:10">
      <c r="I693" s="78"/>
      <c r="J693" s="78"/>
    </row>
    <row r="694" spans="9:10">
      <c r="I694" s="78"/>
      <c r="J694" s="78"/>
    </row>
    <row r="695" spans="9:10">
      <c r="I695" s="78"/>
      <c r="J695" s="78"/>
    </row>
    <row r="696" spans="9:10">
      <c r="I696" s="78"/>
      <c r="J696" s="78"/>
    </row>
    <row r="697" spans="9:10">
      <c r="I697" s="78"/>
      <c r="J697" s="78"/>
    </row>
    <row r="698" spans="9:10">
      <c r="I698" s="78"/>
      <c r="J698" s="78"/>
    </row>
    <row r="699" spans="9:10">
      <c r="I699" s="78"/>
      <c r="J699" s="78"/>
    </row>
    <row r="700" spans="9:10">
      <c r="I700" s="78"/>
      <c r="J700" s="78"/>
    </row>
    <row r="701" spans="9:10">
      <c r="I701" s="78"/>
      <c r="J701" s="78"/>
    </row>
    <row r="702" spans="9:10">
      <c r="I702" s="78"/>
      <c r="J702" s="78"/>
    </row>
    <row r="703" spans="9:10">
      <c r="I703" s="78"/>
      <c r="J703" s="78"/>
    </row>
    <row r="704" spans="9:10">
      <c r="I704" s="78"/>
      <c r="J704" s="78"/>
    </row>
    <row r="705" spans="9:10">
      <c r="I705" s="78"/>
      <c r="J705" s="78"/>
    </row>
    <row r="706" spans="9:10">
      <c r="I706" s="78"/>
      <c r="J706" s="78"/>
    </row>
    <row r="707" spans="9:10">
      <c r="I707" s="78"/>
      <c r="J707" s="78"/>
    </row>
    <row r="708" spans="9:10">
      <c r="I708" s="78"/>
      <c r="J708" s="78"/>
    </row>
    <row r="709" spans="9:10">
      <c r="I709" s="78"/>
      <c r="J709" s="78"/>
    </row>
    <row r="710" spans="9:10">
      <c r="I710" s="78"/>
      <c r="J710" s="78"/>
    </row>
    <row r="711" spans="9:10">
      <c r="I711" s="78"/>
      <c r="J711" s="78"/>
    </row>
    <row r="712" spans="9:10">
      <c r="I712" s="78"/>
      <c r="J712" s="78"/>
    </row>
    <row r="713" spans="9:10">
      <c r="I713" s="78"/>
      <c r="J713" s="78"/>
    </row>
    <row r="714" spans="9:10">
      <c r="I714" s="78"/>
      <c r="J714" s="78"/>
    </row>
    <row r="715" spans="9:10">
      <c r="I715" s="78"/>
      <c r="J715" s="78"/>
    </row>
    <row r="716" spans="9:10">
      <c r="I716" s="78"/>
      <c r="J716" s="78"/>
    </row>
    <row r="717" spans="9:10">
      <c r="I717" s="78"/>
      <c r="J717" s="78"/>
    </row>
    <row r="718" spans="9:10">
      <c r="I718" s="78"/>
      <c r="J718" s="78"/>
    </row>
    <row r="719" spans="9:10">
      <c r="I719" s="78"/>
      <c r="J719" s="78"/>
    </row>
    <row r="720" spans="9:10">
      <c r="I720" s="78"/>
      <c r="J720" s="78"/>
    </row>
    <row r="721" spans="9:10">
      <c r="I721" s="78"/>
      <c r="J721" s="78"/>
    </row>
    <row r="722" spans="9:10">
      <c r="I722" s="78"/>
      <c r="J722" s="78"/>
    </row>
    <row r="723" spans="9:10">
      <c r="I723" s="78"/>
      <c r="J723" s="78"/>
    </row>
    <row r="724" spans="9:10">
      <c r="I724" s="78"/>
      <c r="J724" s="78"/>
    </row>
    <row r="725" spans="9:10">
      <c r="I725" s="78"/>
      <c r="J725" s="78"/>
    </row>
    <row r="726" spans="9:10">
      <c r="I726" s="78"/>
      <c r="J726" s="78"/>
    </row>
    <row r="727" spans="9:10">
      <c r="I727" s="78"/>
      <c r="J727" s="78"/>
    </row>
    <row r="728" spans="9:10">
      <c r="I728" s="78"/>
      <c r="J728" s="78"/>
    </row>
    <row r="729" spans="9:10">
      <c r="I729" s="78"/>
      <c r="J729" s="78"/>
    </row>
    <row r="730" spans="9:10">
      <c r="I730" s="78"/>
      <c r="J730" s="78"/>
    </row>
    <row r="731" spans="9:10">
      <c r="I731" s="78"/>
      <c r="J731" s="78"/>
    </row>
    <row r="732" spans="9:10">
      <c r="I732" s="78"/>
      <c r="J732" s="78"/>
    </row>
    <row r="733" spans="9:10">
      <c r="I733" s="78"/>
      <c r="J733" s="78"/>
    </row>
    <row r="734" spans="9:10">
      <c r="I734" s="78"/>
      <c r="J734" s="78"/>
    </row>
    <row r="735" spans="9:10">
      <c r="I735" s="78"/>
      <c r="J735" s="78"/>
    </row>
    <row r="736" spans="9:10">
      <c r="I736" s="78"/>
      <c r="J736" s="78"/>
    </row>
    <row r="737" spans="9:10">
      <c r="I737" s="78"/>
      <c r="J737" s="78"/>
    </row>
    <row r="738" spans="9:10">
      <c r="I738" s="78"/>
      <c r="J738" s="78"/>
    </row>
    <row r="739" spans="9:10">
      <c r="I739" s="78"/>
      <c r="J739" s="78"/>
    </row>
    <row r="740" spans="9:10">
      <c r="I740" s="78"/>
      <c r="J740" s="78"/>
    </row>
    <row r="741" spans="9:10">
      <c r="I741" s="78"/>
      <c r="J741" s="78"/>
    </row>
    <row r="742" spans="9:10">
      <c r="I742" s="78"/>
      <c r="J742" s="78"/>
    </row>
    <row r="743" spans="9:10">
      <c r="I743" s="78"/>
      <c r="J743" s="78"/>
    </row>
    <row r="744" spans="9:10">
      <c r="I744" s="78"/>
      <c r="J744" s="78"/>
    </row>
    <row r="745" spans="9:10">
      <c r="I745" s="78"/>
      <c r="J745" s="78"/>
    </row>
    <row r="746" spans="9:10">
      <c r="I746" s="78"/>
      <c r="J746" s="78"/>
    </row>
    <row r="747" spans="9:10">
      <c r="I747" s="78"/>
      <c r="J747" s="78"/>
    </row>
    <row r="748" spans="9:10">
      <c r="I748" s="78"/>
      <c r="J748" s="78"/>
    </row>
    <row r="749" spans="9:10">
      <c r="I749" s="78"/>
      <c r="J749" s="78"/>
    </row>
    <row r="750" spans="9:10">
      <c r="I750" s="78"/>
      <c r="J750" s="78"/>
    </row>
    <row r="751" spans="9:10">
      <c r="I751" s="78"/>
      <c r="J751" s="78"/>
    </row>
    <row r="752" spans="9:10">
      <c r="I752" s="78"/>
      <c r="J752" s="78"/>
    </row>
    <row r="753" spans="9:10">
      <c r="I753" s="78"/>
      <c r="J753" s="78"/>
    </row>
    <row r="754" spans="9:10">
      <c r="I754" s="78"/>
      <c r="J754" s="78"/>
    </row>
    <row r="755" spans="9:10">
      <c r="I755" s="78"/>
      <c r="J755" s="78"/>
    </row>
    <row r="756" spans="9:10">
      <c r="I756" s="78"/>
      <c r="J756" s="78"/>
    </row>
    <row r="757" spans="9:10">
      <c r="I757" s="78"/>
      <c r="J757" s="78"/>
    </row>
    <row r="758" spans="9:10">
      <c r="I758" s="78"/>
      <c r="J758" s="78"/>
    </row>
    <row r="759" spans="9:10">
      <c r="I759" s="78"/>
      <c r="J759" s="78"/>
    </row>
    <row r="760" spans="9:10">
      <c r="I760" s="78"/>
      <c r="J760" s="78"/>
    </row>
    <row r="761" spans="9:10">
      <c r="I761" s="78"/>
      <c r="J761" s="78"/>
    </row>
    <row r="762" spans="9:10">
      <c r="I762" s="78"/>
      <c r="J762" s="78"/>
    </row>
    <row r="763" spans="9:10">
      <c r="I763" s="78"/>
      <c r="J763" s="78"/>
    </row>
    <row r="764" spans="9:10">
      <c r="I764" s="78"/>
      <c r="J764" s="78"/>
    </row>
    <row r="765" spans="9:10">
      <c r="I765" s="78"/>
      <c r="J765" s="78"/>
    </row>
    <row r="766" spans="9:10">
      <c r="I766" s="78"/>
      <c r="J766" s="78"/>
    </row>
    <row r="767" spans="9:10">
      <c r="I767" s="78"/>
      <c r="J767" s="78"/>
    </row>
    <row r="768" spans="9:10">
      <c r="I768" s="78"/>
      <c r="J768" s="78"/>
    </row>
    <row r="769" spans="9:10">
      <c r="I769" s="78"/>
      <c r="J769" s="78"/>
    </row>
    <row r="770" spans="9:10">
      <c r="I770" s="78"/>
      <c r="J770" s="78"/>
    </row>
    <row r="771" spans="9:10">
      <c r="I771" s="78"/>
      <c r="J771" s="78"/>
    </row>
    <row r="772" spans="9:10">
      <c r="I772" s="78"/>
      <c r="J772" s="78"/>
    </row>
    <row r="773" spans="9:10">
      <c r="I773" s="78"/>
      <c r="J773" s="78"/>
    </row>
    <row r="774" spans="9:10">
      <c r="I774" s="78"/>
      <c r="J774" s="78"/>
    </row>
    <row r="775" spans="9:10">
      <c r="I775" s="78"/>
      <c r="J775" s="78"/>
    </row>
    <row r="776" spans="9:10">
      <c r="I776" s="78"/>
      <c r="J776" s="78"/>
    </row>
    <row r="777" spans="9:10">
      <c r="I777" s="78"/>
      <c r="J777" s="78"/>
    </row>
    <row r="778" spans="9:10">
      <c r="I778" s="78"/>
      <c r="J778" s="78"/>
    </row>
    <row r="779" spans="9:10">
      <c r="I779" s="78"/>
      <c r="J779" s="78"/>
    </row>
    <row r="780" spans="9:10">
      <c r="I780" s="78"/>
      <c r="J780" s="78"/>
    </row>
    <row r="781" spans="9:10">
      <c r="I781" s="78"/>
      <c r="J781" s="78"/>
    </row>
    <row r="782" spans="9:10">
      <c r="I782" s="78"/>
      <c r="J782" s="78"/>
    </row>
    <row r="783" spans="9:10">
      <c r="I783" s="78"/>
      <c r="J783" s="78"/>
    </row>
    <row r="784" spans="9:10">
      <c r="I784" s="78"/>
      <c r="J784" s="78"/>
    </row>
    <row r="785" spans="9:10">
      <c r="I785" s="78"/>
      <c r="J785" s="78"/>
    </row>
    <row r="786" spans="9:10">
      <c r="I786" s="78"/>
      <c r="J786" s="78"/>
    </row>
    <row r="787" spans="9:10">
      <c r="I787" s="78"/>
      <c r="J787" s="78"/>
    </row>
    <row r="788" spans="9:10">
      <c r="I788" s="78"/>
      <c r="J788" s="78"/>
    </row>
    <row r="789" spans="9:10">
      <c r="I789" s="78"/>
      <c r="J789" s="78"/>
    </row>
    <row r="790" spans="9:10">
      <c r="I790" s="78"/>
      <c r="J790" s="78"/>
    </row>
    <row r="791" spans="9:10">
      <c r="I791" s="78"/>
      <c r="J791" s="78"/>
    </row>
    <row r="792" spans="9:10">
      <c r="I792" s="78"/>
      <c r="J792" s="78"/>
    </row>
    <row r="793" spans="9:10">
      <c r="I793" s="78"/>
      <c r="J793" s="78"/>
    </row>
    <row r="794" spans="9:10">
      <c r="I794" s="78"/>
      <c r="J794" s="78"/>
    </row>
    <row r="795" spans="9:10">
      <c r="I795" s="78"/>
      <c r="J795" s="78"/>
    </row>
    <row r="796" spans="9:10">
      <c r="I796" s="78"/>
      <c r="J796" s="78"/>
    </row>
    <row r="797" spans="9:10">
      <c r="I797" s="78"/>
      <c r="J797" s="78"/>
    </row>
    <row r="798" spans="9:10">
      <c r="I798" s="78"/>
      <c r="J798" s="78"/>
    </row>
    <row r="799" spans="9:10">
      <c r="I799" s="78"/>
      <c r="J799" s="78"/>
    </row>
    <row r="800" spans="9:10">
      <c r="I800" s="78"/>
      <c r="J800" s="78"/>
    </row>
    <row r="801" spans="9:10">
      <c r="I801" s="78"/>
      <c r="J801" s="78"/>
    </row>
    <row r="802" spans="9:10">
      <c r="I802" s="78"/>
      <c r="J802" s="78"/>
    </row>
    <row r="803" spans="9:10">
      <c r="I803" s="78"/>
      <c r="J803" s="78"/>
    </row>
    <row r="804" spans="9:10">
      <c r="I804" s="78"/>
      <c r="J804" s="78"/>
    </row>
    <row r="805" spans="9:10">
      <c r="I805" s="78"/>
      <c r="J805" s="78"/>
    </row>
    <row r="806" spans="9:10">
      <c r="I806" s="78"/>
      <c r="J806" s="78"/>
    </row>
    <row r="807" spans="9:10">
      <c r="I807" s="78"/>
      <c r="J807" s="78"/>
    </row>
    <row r="808" spans="9:10">
      <c r="I808" s="78"/>
      <c r="J808" s="78"/>
    </row>
    <row r="809" spans="9:10">
      <c r="I809" s="78"/>
      <c r="J809" s="78"/>
    </row>
    <row r="810" spans="9:10">
      <c r="I810" s="78"/>
      <c r="J810" s="78"/>
    </row>
    <row r="811" spans="9:10">
      <c r="I811" s="78"/>
      <c r="J811" s="78"/>
    </row>
    <row r="812" spans="9:10">
      <c r="I812" s="78"/>
      <c r="J812" s="78"/>
    </row>
    <row r="813" spans="9:10">
      <c r="I813" s="78"/>
      <c r="J813" s="78"/>
    </row>
    <row r="814" spans="9:10">
      <c r="I814" s="78"/>
      <c r="J814" s="78"/>
    </row>
    <row r="815" spans="9:10">
      <c r="I815" s="78"/>
      <c r="J815" s="78"/>
    </row>
    <row r="816" spans="9:10">
      <c r="I816" s="78"/>
      <c r="J816" s="78"/>
    </row>
    <row r="817" spans="9:10">
      <c r="I817" s="78"/>
      <c r="J817" s="78"/>
    </row>
    <row r="818" spans="9:10">
      <c r="I818" s="78"/>
      <c r="J818" s="78"/>
    </row>
    <row r="819" spans="9:10">
      <c r="I819" s="78"/>
      <c r="J819" s="78"/>
    </row>
    <row r="820" spans="9:10">
      <c r="I820" s="78"/>
      <c r="J820" s="78"/>
    </row>
    <row r="821" spans="9:10">
      <c r="I821" s="78"/>
      <c r="J821" s="78"/>
    </row>
    <row r="822" spans="9:10">
      <c r="I822" s="78"/>
      <c r="J822" s="78"/>
    </row>
    <row r="823" spans="9:10">
      <c r="I823" s="78"/>
      <c r="J823" s="78"/>
    </row>
    <row r="824" spans="9:10">
      <c r="I824" s="78"/>
      <c r="J824" s="78"/>
    </row>
    <row r="825" spans="9:10">
      <c r="I825" s="78"/>
      <c r="J825" s="78"/>
    </row>
    <row r="826" spans="9:10">
      <c r="I826" s="78"/>
      <c r="J826" s="78"/>
    </row>
    <row r="827" spans="9:10">
      <c r="I827" s="78"/>
      <c r="J827" s="78"/>
    </row>
    <row r="828" spans="9:10">
      <c r="I828" s="78"/>
      <c r="J828" s="78"/>
    </row>
    <row r="829" spans="9:10">
      <c r="I829" s="78"/>
      <c r="J829" s="78"/>
    </row>
    <row r="830" spans="9:10">
      <c r="I830" s="78"/>
      <c r="J830" s="78"/>
    </row>
    <row r="831" spans="9:10">
      <c r="I831" s="78"/>
      <c r="J831" s="78"/>
    </row>
    <row r="832" spans="9:10">
      <c r="I832" s="78"/>
      <c r="J832" s="78"/>
    </row>
    <row r="833" spans="9:10">
      <c r="I833" s="78"/>
      <c r="J833" s="78"/>
    </row>
    <row r="834" spans="9:10">
      <c r="I834" s="78"/>
      <c r="J834" s="78"/>
    </row>
    <row r="835" spans="9:10">
      <c r="I835" s="78"/>
      <c r="J835" s="78"/>
    </row>
    <row r="836" spans="9:10">
      <c r="I836" s="78"/>
      <c r="J836" s="78"/>
    </row>
    <row r="837" spans="9:10">
      <c r="I837" s="78"/>
      <c r="J837" s="78"/>
    </row>
    <row r="838" spans="9:10">
      <c r="I838" s="78"/>
      <c r="J838" s="78"/>
    </row>
    <row r="839" spans="9:10">
      <c r="I839" s="78"/>
      <c r="J839" s="78"/>
    </row>
    <row r="840" spans="9:10">
      <c r="I840" s="78"/>
      <c r="J840" s="78"/>
    </row>
    <row r="841" spans="9:10">
      <c r="I841" s="78"/>
      <c r="J841" s="78"/>
    </row>
    <row r="842" spans="9:10">
      <c r="I842" s="78"/>
      <c r="J842" s="78"/>
    </row>
    <row r="843" spans="9:10">
      <c r="I843" s="78"/>
      <c r="J843" s="78"/>
    </row>
    <row r="844" spans="9:10">
      <c r="I844" s="78"/>
      <c r="J844" s="78"/>
    </row>
    <row r="845" spans="9:10">
      <c r="I845" s="78"/>
      <c r="J845" s="78"/>
    </row>
    <row r="846" spans="9:10">
      <c r="I846" s="78"/>
      <c r="J846" s="78"/>
    </row>
    <row r="847" spans="9:10">
      <c r="I847" s="78"/>
      <c r="J847" s="78"/>
    </row>
    <row r="848" spans="9:10">
      <c r="I848" s="78"/>
      <c r="J848" s="78"/>
    </row>
    <row r="849" spans="9:10">
      <c r="I849" s="78"/>
      <c r="J849" s="78"/>
    </row>
    <row r="850" spans="9:10">
      <c r="I850" s="78"/>
      <c r="J850" s="78"/>
    </row>
    <row r="851" spans="9:10">
      <c r="I851" s="78"/>
      <c r="J851" s="78"/>
    </row>
    <row r="852" spans="9:10">
      <c r="I852" s="78"/>
      <c r="J852" s="78"/>
    </row>
    <row r="853" spans="9:10">
      <c r="I853" s="78"/>
      <c r="J853" s="78"/>
    </row>
    <row r="854" spans="9:10">
      <c r="I854" s="78"/>
      <c r="J854" s="78"/>
    </row>
    <row r="855" spans="9:10">
      <c r="I855" s="78"/>
      <c r="J855" s="78"/>
    </row>
    <row r="856" spans="9:10">
      <c r="I856" s="78"/>
      <c r="J856" s="78"/>
    </row>
    <row r="857" spans="9:10">
      <c r="I857" s="78"/>
      <c r="J857" s="78"/>
    </row>
    <row r="858" spans="9:10">
      <c r="I858" s="78"/>
      <c r="J858" s="78"/>
    </row>
    <row r="859" spans="9:10">
      <c r="I859" s="78"/>
      <c r="J859" s="78"/>
    </row>
    <row r="860" spans="9:10">
      <c r="I860" s="78"/>
      <c r="J860" s="78"/>
    </row>
    <row r="861" spans="9:10">
      <c r="I861" s="78"/>
      <c r="J861" s="78"/>
    </row>
    <row r="862" spans="9:10">
      <c r="I862" s="78"/>
      <c r="J862" s="78"/>
    </row>
    <row r="863" spans="9:10">
      <c r="I863" s="78"/>
      <c r="J863" s="78"/>
    </row>
    <row r="864" spans="9:10">
      <c r="I864" s="78"/>
      <c r="J864" s="78"/>
    </row>
    <row r="865" spans="9:10">
      <c r="I865" s="78"/>
      <c r="J865" s="78"/>
    </row>
    <row r="866" spans="9:10">
      <c r="I866" s="78"/>
      <c r="J866" s="78"/>
    </row>
    <row r="867" spans="9:10">
      <c r="I867" s="78"/>
      <c r="J867" s="78"/>
    </row>
    <row r="868" spans="9:10">
      <c r="I868" s="78"/>
      <c r="J868" s="78"/>
    </row>
    <row r="869" spans="9:10">
      <c r="I869" s="78"/>
      <c r="J869" s="78"/>
    </row>
    <row r="870" spans="9:10">
      <c r="I870" s="78"/>
      <c r="J870" s="78"/>
    </row>
    <row r="871" spans="9:10">
      <c r="I871" s="78"/>
      <c r="J871" s="78"/>
    </row>
    <row r="872" spans="9:10">
      <c r="I872" s="78"/>
      <c r="J872" s="78"/>
    </row>
    <row r="873" spans="9:10">
      <c r="I873" s="78"/>
      <c r="J873" s="78"/>
    </row>
    <row r="874" spans="9:10">
      <c r="I874" s="78"/>
      <c r="J874" s="78"/>
    </row>
    <row r="875" spans="9:10">
      <c r="I875" s="78"/>
      <c r="J875" s="78"/>
    </row>
    <row r="876" spans="9:10">
      <c r="I876" s="78"/>
      <c r="J876" s="78"/>
    </row>
    <row r="877" spans="9:10">
      <c r="I877" s="78"/>
      <c r="J877" s="78"/>
    </row>
    <row r="878" spans="9:10">
      <c r="I878" s="78"/>
      <c r="J878" s="78"/>
    </row>
    <row r="879" spans="9:10">
      <c r="I879" s="78"/>
      <c r="J879" s="78"/>
    </row>
    <row r="880" spans="9:10">
      <c r="I880" s="78"/>
      <c r="J880" s="78"/>
    </row>
    <row r="881" spans="9:10">
      <c r="I881" s="78"/>
      <c r="J881" s="78"/>
    </row>
    <row r="882" spans="9:10">
      <c r="I882" s="78"/>
      <c r="J882" s="78"/>
    </row>
    <row r="883" spans="9:10">
      <c r="I883" s="78"/>
      <c r="J883" s="78"/>
    </row>
    <row r="884" spans="9:10">
      <c r="I884" s="78"/>
      <c r="J884" s="78"/>
    </row>
    <row r="885" spans="9:10">
      <c r="I885" s="78"/>
      <c r="J885" s="78"/>
    </row>
    <row r="886" spans="9:10">
      <c r="I886" s="78"/>
      <c r="J886" s="78"/>
    </row>
    <row r="887" spans="9:10">
      <c r="I887" s="78"/>
      <c r="J887" s="78"/>
    </row>
    <row r="888" spans="9:10">
      <c r="I888" s="78"/>
      <c r="J888" s="78"/>
    </row>
    <row r="889" spans="9:10">
      <c r="I889" s="78"/>
      <c r="J889" s="78"/>
    </row>
    <row r="890" spans="9:10">
      <c r="I890" s="78"/>
      <c r="J890" s="78"/>
    </row>
    <row r="891" spans="9:10">
      <c r="I891" s="78"/>
      <c r="J891" s="78"/>
    </row>
    <row r="892" spans="9:10">
      <c r="I892" s="78"/>
      <c r="J892" s="78"/>
    </row>
    <row r="893" spans="9:10">
      <c r="I893" s="78"/>
      <c r="J893" s="78"/>
    </row>
    <row r="894" spans="9:10">
      <c r="I894" s="78"/>
      <c r="J894" s="78"/>
    </row>
    <row r="895" spans="9:10">
      <c r="I895" s="78"/>
      <c r="J895" s="78"/>
    </row>
    <row r="896" spans="9:10">
      <c r="I896" s="78"/>
      <c r="J896" s="78"/>
    </row>
    <row r="897" spans="9:10">
      <c r="I897" s="78"/>
      <c r="J897" s="78"/>
    </row>
    <row r="898" spans="9:10">
      <c r="I898" s="78"/>
      <c r="J898" s="78"/>
    </row>
    <row r="899" spans="9:10">
      <c r="I899" s="78"/>
      <c r="J899" s="78"/>
    </row>
    <row r="900" spans="9:10">
      <c r="I900" s="78"/>
      <c r="J900" s="78"/>
    </row>
    <row r="901" spans="9:10">
      <c r="I901" s="78"/>
      <c r="J901" s="78"/>
    </row>
    <row r="902" spans="9:10">
      <c r="I902" s="78"/>
      <c r="J902" s="78"/>
    </row>
    <row r="903" spans="9:10">
      <c r="I903" s="78"/>
      <c r="J903" s="78"/>
    </row>
    <row r="904" spans="9:10">
      <c r="I904" s="78"/>
      <c r="J904" s="78"/>
    </row>
    <row r="905" spans="9:10">
      <c r="I905" s="78"/>
      <c r="J905" s="78"/>
    </row>
    <row r="906" spans="9:10">
      <c r="I906" s="78"/>
      <c r="J906" s="78"/>
    </row>
    <row r="907" spans="9:10">
      <c r="I907" s="78"/>
      <c r="J907" s="78"/>
    </row>
    <row r="908" spans="9:10">
      <c r="I908" s="78"/>
      <c r="J908" s="78"/>
    </row>
    <row r="909" spans="9:10">
      <c r="I909" s="78"/>
      <c r="J909" s="78"/>
    </row>
    <row r="910" spans="9:10">
      <c r="I910" s="78"/>
      <c r="J910" s="78"/>
    </row>
    <row r="911" spans="9:10">
      <c r="I911" s="78"/>
      <c r="J911" s="78"/>
    </row>
    <row r="912" spans="9:10">
      <c r="I912" s="78"/>
      <c r="J912" s="78"/>
    </row>
    <row r="913" spans="9:10">
      <c r="I913" s="78"/>
      <c r="J913" s="78"/>
    </row>
    <row r="914" spans="9:10">
      <c r="I914" s="78"/>
      <c r="J914" s="78"/>
    </row>
    <row r="915" spans="9:10">
      <c r="I915" s="78"/>
      <c r="J915" s="78"/>
    </row>
    <row r="916" spans="9:10">
      <c r="I916" s="78"/>
      <c r="J916" s="78"/>
    </row>
    <row r="917" spans="9:10">
      <c r="I917" s="78"/>
      <c r="J917" s="78"/>
    </row>
    <row r="918" spans="9:10">
      <c r="I918" s="78"/>
      <c r="J918" s="78"/>
    </row>
    <row r="919" spans="9:10">
      <c r="I919" s="78"/>
      <c r="J919" s="78"/>
    </row>
    <row r="920" spans="9:10">
      <c r="I920" s="78"/>
      <c r="J920" s="78"/>
    </row>
    <row r="921" spans="9:10">
      <c r="I921" s="78"/>
      <c r="J921" s="78"/>
    </row>
    <row r="922" spans="9:10">
      <c r="I922" s="78"/>
      <c r="J922" s="78"/>
    </row>
    <row r="923" spans="9:10">
      <c r="I923" s="78"/>
      <c r="J923" s="78"/>
    </row>
    <row r="924" spans="9:10">
      <c r="I924" s="78"/>
      <c r="J924" s="78"/>
    </row>
    <row r="925" spans="9:10">
      <c r="I925" s="78"/>
      <c r="J925" s="78"/>
    </row>
    <row r="926" spans="9:10">
      <c r="I926" s="78"/>
      <c r="J926" s="78"/>
    </row>
    <row r="927" spans="9:10">
      <c r="I927" s="78"/>
      <c r="J927" s="78"/>
    </row>
    <row r="928" spans="9:10">
      <c r="I928" s="78"/>
      <c r="J928" s="78"/>
    </row>
    <row r="929" spans="9:10">
      <c r="I929" s="78"/>
      <c r="J929" s="78"/>
    </row>
    <row r="930" spans="9:10">
      <c r="I930" s="78"/>
      <c r="J930" s="78"/>
    </row>
    <row r="931" spans="9:10">
      <c r="I931" s="78"/>
      <c r="J931" s="78"/>
    </row>
    <row r="932" spans="9:10">
      <c r="I932" s="78"/>
      <c r="J932" s="78"/>
    </row>
    <row r="933" spans="9:10">
      <c r="I933" s="78"/>
      <c r="J933" s="78"/>
    </row>
    <row r="934" spans="9:10">
      <c r="I934" s="78"/>
      <c r="J934" s="78"/>
    </row>
    <row r="935" spans="9:10">
      <c r="I935" s="78"/>
      <c r="J935" s="78"/>
    </row>
    <row r="936" spans="9:10">
      <c r="I936" s="78"/>
      <c r="J936" s="78"/>
    </row>
    <row r="937" spans="9:10">
      <c r="I937" s="78"/>
      <c r="J937" s="78"/>
    </row>
    <row r="938" spans="9:10">
      <c r="I938" s="78"/>
      <c r="J938" s="78"/>
    </row>
    <row r="939" spans="9:10">
      <c r="I939" s="78"/>
      <c r="J939" s="78"/>
    </row>
    <row r="940" spans="9:10">
      <c r="I940" s="78"/>
      <c r="J940" s="78"/>
    </row>
    <row r="941" spans="9:10">
      <c r="I941" s="78"/>
      <c r="J941" s="78"/>
    </row>
    <row r="942" spans="9:10">
      <c r="I942" s="78"/>
      <c r="J942" s="78"/>
    </row>
    <row r="943" spans="9:10">
      <c r="I943" s="78"/>
      <c r="J943" s="78"/>
    </row>
    <row r="944" spans="9:10">
      <c r="I944" s="78"/>
      <c r="J944" s="78"/>
    </row>
    <row r="945" spans="9:10">
      <c r="I945" s="78"/>
      <c r="J945" s="78"/>
    </row>
    <row r="946" spans="9:10">
      <c r="I946" s="78"/>
      <c r="J946" s="78"/>
    </row>
    <row r="947" spans="9:10">
      <c r="I947" s="78"/>
      <c r="J947" s="78"/>
    </row>
    <row r="948" spans="9:10">
      <c r="I948" s="78"/>
      <c r="J948" s="78"/>
    </row>
    <row r="949" spans="9:10">
      <c r="I949" s="78"/>
      <c r="J949" s="78"/>
    </row>
    <row r="950" spans="9:10">
      <c r="I950" s="78"/>
      <c r="J950" s="78"/>
    </row>
    <row r="951" spans="9:10">
      <c r="I951" s="78"/>
      <c r="J951" s="78"/>
    </row>
    <row r="952" spans="9:10">
      <c r="I952" s="78"/>
      <c r="J952" s="78"/>
    </row>
    <row r="953" spans="9:10">
      <c r="I953" s="78"/>
      <c r="J953" s="78"/>
    </row>
    <row r="954" spans="9:10">
      <c r="I954" s="78"/>
      <c r="J954" s="78"/>
    </row>
    <row r="955" spans="9:10">
      <c r="I955" s="78"/>
      <c r="J955" s="78"/>
    </row>
    <row r="956" spans="9:10">
      <c r="I956" s="78"/>
      <c r="J956" s="78"/>
    </row>
    <row r="957" spans="9:10">
      <c r="I957" s="78"/>
      <c r="J957" s="78"/>
    </row>
    <row r="958" spans="9:10">
      <c r="I958" s="78"/>
      <c r="J958" s="78"/>
    </row>
    <row r="959" spans="9:10">
      <c r="I959" s="78"/>
      <c r="J959" s="78"/>
    </row>
    <row r="960" spans="9:10">
      <c r="I960" s="78"/>
      <c r="J960" s="78"/>
    </row>
    <row r="961" spans="9:10">
      <c r="I961" s="78"/>
      <c r="J961" s="78"/>
    </row>
    <row r="962" spans="9:10">
      <c r="I962" s="78"/>
      <c r="J962" s="78"/>
    </row>
    <row r="963" spans="9:10">
      <c r="I963" s="78"/>
      <c r="J963" s="78"/>
    </row>
    <row r="964" spans="9:10">
      <c r="I964" s="78"/>
      <c r="J964" s="78"/>
    </row>
    <row r="965" spans="9:10">
      <c r="I965" s="78"/>
      <c r="J965" s="78"/>
    </row>
    <row r="966" spans="9:10">
      <c r="I966" s="78"/>
      <c r="J966" s="78"/>
    </row>
    <row r="967" spans="9:10">
      <c r="I967" s="78"/>
      <c r="J967" s="78"/>
    </row>
    <row r="968" spans="9:10">
      <c r="I968" s="78"/>
      <c r="J968" s="78"/>
    </row>
    <row r="969" spans="9:10">
      <c r="I969" s="78"/>
      <c r="J969" s="78"/>
    </row>
    <row r="970" spans="9:10">
      <c r="I970" s="78"/>
      <c r="J970" s="78"/>
    </row>
    <row r="971" spans="9:10">
      <c r="I971" s="78"/>
      <c r="J971" s="78"/>
    </row>
    <row r="972" spans="9:10">
      <c r="I972" s="78"/>
      <c r="J972" s="78"/>
    </row>
    <row r="973" spans="9:10">
      <c r="I973" s="78"/>
      <c r="J973" s="78"/>
    </row>
    <row r="974" spans="9:10">
      <c r="I974" s="78"/>
      <c r="J974" s="78"/>
    </row>
    <row r="975" spans="9:10">
      <c r="I975" s="78"/>
      <c r="J975" s="78"/>
    </row>
    <row r="976" spans="9:10">
      <c r="I976" s="78"/>
      <c r="J976" s="78"/>
    </row>
    <row r="977" spans="9:10">
      <c r="I977" s="78"/>
      <c r="J977" s="78"/>
    </row>
    <row r="978" spans="9:10">
      <c r="I978" s="78"/>
      <c r="J978" s="78"/>
    </row>
    <row r="979" spans="9:10">
      <c r="I979" s="78"/>
      <c r="J979" s="78"/>
    </row>
    <row r="980" spans="9:10">
      <c r="I980" s="78"/>
      <c r="J980" s="78"/>
    </row>
    <row r="981" spans="9:10">
      <c r="I981" s="78"/>
      <c r="J981" s="78"/>
    </row>
    <row r="982" spans="9:10">
      <c r="I982" s="78"/>
      <c r="J982" s="78"/>
    </row>
    <row r="983" spans="9:10">
      <c r="I983" s="78"/>
      <c r="J983" s="78"/>
    </row>
    <row r="984" spans="9:10">
      <c r="I984" s="78"/>
      <c r="J984" s="78"/>
    </row>
    <row r="985" spans="9:10">
      <c r="I985" s="78"/>
      <c r="J985" s="78"/>
    </row>
    <row r="986" spans="9:10">
      <c r="I986" s="78"/>
      <c r="J986" s="78"/>
    </row>
    <row r="987" spans="9:10">
      <c r="I987" s="78"/>
      <c r="J987" s="78"/>
    </row>
    <row r="988" spans="9:10">
      <c r="I988" s="78"/>
      <c r="J988" s="78"/>
    </row>
    <row r="989" spans="9:10">
      <c r="I989" s="78"/>
      <c r="J989" s="78"/>
    </row>
    <row r="990" spans="9:10">
      <c r="I990" s="78"/>
      <c r="J990" s="78"/>
    </row>
    <row r="991" spans="9:10">
      <c r="I991" s="78"/>
      <c r="J991" s="78"/>
    </row>
    <row r="992" spans="9:10">
      <c r="I992" s="78"/>
      <c r="J992" s="78"/>
    </row>
    <row r="993" spans="9:10">
      <c r="I993" s="78"/>
      <c r="J993" s="78"/>
    </row>
    <row r="994" spans="9:10">
      <c r="I994" s="78"/>
      <c r="J994" s="78"/>
    </row>
    <row r="995" spans="9:10">
      <c r="I995" s="78"/>
      <c r="J995" s="78"/>
    </row>
    <row r="996" spans="9:10">
      <c r="I996" s="78"/>
      <c r="J996" s="78"/>
    </row>
    <row r="997" spans="9:10">
      <c r="I997" s="78"/>
      <c r="J997" s="78"/>
    </row>
    <row r="998" spans="9:10">
      <c r="I998" s="78"/>
      <c r="J998" s="78"/>
    </row>
    <row r="999" spans="9:10">
      <c r="I999" s="78"/>
      <c r="J999" s="78"/>
    </row>
    <row r="1000" spans="9:10">
      <c r="I1000" s="78"/>
      <c r="J1000" s="78"/>
    </row>
  </sheetData>
  <autoFilter ref="A4:V36" xr:uid="{76BA6545-CA0D-4021-AF76-A00030C2D9CF}"/>
  <mergeCells count="10">
    <mergeCell ref="O3:P3"/>
    <mergeCell ref="Q3:S3"/>
    <mergeCell ref="T3:U3"/>
    <mergeCell ref="A36:F36"/>
    <mergeCell ref="A1:H1"/>
    <mergeCell ref="A2:G2"/>
    <mergeCell ref="A3:G3"/>
    <mergeCell ref="I3:J3"/>
    <mergeCell ref="K3:L3"/>
    <mergeCell ref="M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opLeftCell="N14" workbookViewId="0">
      <selection activeCell="V5" sqref="V5:W35"/>
    </sheetView>
  </sheetViews>
  <sheetFormatPr defaultColWidth="14.44140625" defaultRowHeight="14.4"/>
  <cols>
    <col min="2" max="2" width="16.5546875" bestFit="1" customWidth="1"/>
    <col min="3" max="3" width="25" bestFit="1" customWidth="1"/>
    <col min="4" max="4" width="17.33203125" bestFit="1" customWidth="1"/>
    <col min="5" max="7" width="14.44140625" hidden="1" customWidth="1"/>
    <col min="8" max="8" width="0.109375" customWidth="1"/>
    <col min="11" max="16" width="14.44140625" style="46"/>
    <col min="20" max="20" width="14.44140625" style="60"/>
    <col min="21" max="21" width="14.44140625" style="61"/>
  </cols>
  <sheetData>
    <row r="1" spans="1:23" ht="15" customHeight="1">
      <c r="A1" s="87" t="s">
        <v>0</v>
      </c>
      <c r="B1" s="88"/>
      <c r="C1" s="88"/>
      <c r="D1" s="88"/>
      <c r="E1" s="88"/>
      <c r="F1" s="88"/>
      <c r="G1" s="88"/>
      <c r="H1" s="88"/>
      <c r="I1" s="1"/>
      <c r="J1" s="1"/>
      <c r="K1" s="2"/>
      <c r="L1" s="2"/>
      <c r="M1" s="2"/>
      <c r="N1" s="2"/>
      <c r="O1" s="2"/>
      <c r="P1" s="2"/>
      <c r="Q1" s="1"/>
      <c r="R1" s="1"/>
      <c r="S1" s="1"/>
      <c r="T1" s="58"/>
      <c r="U1" s="59"/>
      <c r="V1" s="1"/>
    </row>
    <row r="2" spans="1:23" ht="15.6">
      <c r="A2" s="89" t="s">
        <v>1</v>
      </c>
      <c r="B2" s="90"/>
      <c r="C2" s="90"/>
      <c r="D2" s="90"/>
      <c r="E2" s="90"/>
      <c r="F2" s="90"/>
      <c r="G2" s="91"/>
      <c r="H2" s="5"/>
      <c r="I2" s="6"/>
      <c r="J2" s="6"/>
      <c r="K2" s="7"/>
      <c r="L2" s="7"/>
      <c r="M2" s="7"/>
      <c r="N2" s="7"/>
      <c r="O2" s="7"/>
      <c r="P2" s="7"/>
      <c r="Q2" s="6"/>
      <c r="R2" s="6"/>
      <c r="S2" s="6"/>
      <c r="T2" s="58"/>
      <c r="U2" s="59"/>
      <c r="V2" s="1"/>
    </row>
    <row r="3" spans="1:23" ht="15.6">
      <c r="A3" s="92" t="s">
        <v>2</v>
      </c>
      <c r="B3" s="93"/>
      <c r="C3" s="93"/>
      <c r="D3" s="93"/>
      <c r="E3" s="93"/>
      <c r="F3" s="93"/>
      <c r="G3" s="94"/>
      <c r="H3" s="5"/>
      <c r="I3" s="81" t="s">
        <v>3</v>
      </c>
      <c r="J3" s="83"/>
      <c r="K3" s="79" t="s">
        <v>4</v>
      </c>
      <c r="L3" s="80"/>
      <c r="M3" s="79" t="s">
        <v>5</v>
      </c>
      <c r="N3" s="80"/>
      <c r="O3" s="79" t="s">
        <v>6</v>
      </c>
      <c r="P3" s="80"/>
      <c r="Q3" s="81" t="s">
        <v>7</v>
      </c>
      <c r="R3" s="82"/>
      <c r="S3" s="83"/>
      <c r="T3" s="81" t="s">
        <v>8</v>
      </c>
      <c r="U3" s="82"/>
      <c r="V3" s="1"/>
    </row>
    <row r="4" spans="1:23" s="14" customFormat="1" ht="15.6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9" t="s">
        <v>15</v>
      </c>
      <c r="H4" s="10"/>
      <c r="I4" s="51" t="s">
        <v>16</v>
      </c>
      <c r="J4" s="51" t="s">
        <v>17</v>
      </c>
      <c r="K4" s="52" t="s">
        <v>16</v>
      </c>
      <c r="L4" s="52" t="s">
        <v>17</v>
      </c>
      <c r="M4" s="52" t="s">
        <v>16</v>
      </c>
      <c r="N4" s="52" t="s">
        <v>17</v>
      </c>
      <c r="O4" s="52" t="s">
        <v>16</v>
      </c>
      <c r="P4" s="52" t="s">
        <v>17</v>
      </c>
      <c r="Q4" s="51" t="s">
        <v>16</v>
      </c>
      <c r="R4" s="51" t="s">
        <v>18</v>
      </c>
      <c r="S4" s="11" t="s">
        <v>17</v>
      </c>
      <c r="T4" s="12" t="s">
        <v>16</v>
      </c>
      <c r="U4" s="48" t="s">
        <v>18</v>
      </c>
      <c r="V4" s="13"/>
    </row>
    <row r="5" spans="1:23" ht="15" customHeight="1">
      <c r="A5" s="15">
        <v>1</v>
      </c>
      <c r="B5" s="16" t="s">
        <v>19</v>
      </c>
      <c r="C5" s="16" t="s">
        <v>20</v>
      </c>
      <c r="D5" s="17" t="s">
        <v>21</v>
      </c>
      <c r="E5" s="18">
        <v>14</v>
      </c>
      <c r="F5" s="18">
        <v>680</v>
      </c>
      <c r="G5" s="19">
        <v>57980</v>
      </c>
      <c r="H5" s="20"/>
      <c r="I5" s="55">
        <v>8925</v>
      </c>
      <c r="J5" s="55">
        <v>85</v>
      </c>
      <c r="K5" s="55">
        <v>3675</v>
      </c>
      <c r="L5" s="55">
        <v>35</v>
      </c>
      <c r="M5" s="55"/>
      <c r="N5" s="55"/>
      <c r="O5" s="55">
        <v>1260</v>
      </c>
      <c r="P5" s="55">
        <v>12</v>
      </c>
      <c r="Q5" s="55">
        <f t="shared" ref="Q5:Q35" si="0">I5+K5+M5+O5</f>
        <v>13860</v>
      </c>
      <c r="R5" s="56">
        <f>Q5-Q5*12/112</f>
        <v>12375</v>
      </c>
      <c r="S5" s="50">
        <f t="shared" ref="S5:S35" si="1">J5+L5+N5+P5</f>
        <v>132</v>
      </c>
      <c r="T5" s="21">
        <v>340100</v>
      </c>
      <c r="U5" s="25">
        <v>288025.96428571426</v>
      </c>
      <c r="V5" s="1">
        <f>T5+Q5</f>
        <v>353960</v>
      </c>
      <c r="W5" s="49">
        <f>U5+R5</f>
        <v>300400.96428571426</v>
      </c>
    </row>
    <row r="6" spans="1:23" ht="15" customHeight="1">
      <c r="A6" s="15">
        <v>2</v>
      </c>
      <c r="B6" s="16" t="s">
        <v>22</v>
      </c>
      <c r="C6" s="16" t="s">
        <v>23</v>
      </c>
      <c r="D6" s="17" t="s">
        <v>21</v>
      </c>
      <c r="E6" s="18">
        <v>14</v>
      </c>
      <c r="F6" s="18">
        <v>428</v>
      </c>
      <c r="G6" s="19">
        <v>57840</v>
      </c>
      <c r="H6" s="20"/>
      <c r="I6" s="55">
        <v>7910</v>
      </c>
      <c r="J6" s="55">
        <v>85</v>
      </c>
      <c r="K6" s="55">
        <v>5530</v>
      </c>
      <c r="L6" s="55">
        <v>59</v>
      </c>
      <c r="M6" s="55">
        <v>3140</v>
      </c>
      <c r="N6" s="55">
        <v>40</v>
      </c>
      <c r="O6" s="55">
        <v>2760</v>
      </c>
      <c r="P6" s="55">
        <v>30</v>
      </c>
      <c r="Q6" s="55">
        <f t="shared" si="0"/>
        <v>19340</v>
      </c>
      <c r="R6" s="56">
        <f t="shared" ref="R6:R35" si="2">Q6-Q6*12/112</f>
        <v>17267.857142857141</v>
      </c>
      <c r="S6" s="50">
        <f t="shared" si="1"/>
        <v>214</v>
      </c>
      <c r="T6" s="21">
        <v>276505</v>
      </c>
      <c r="U6" s="25">
        <v>232817.42857142861</v>
      </c>
      <c r="V6" s="1">
        <f t="shared" ref="V6:V35" si="3">T6+Q6</f>
        <v>295845</v>
      </c>
      <c r="W6" s="49">
        <f t="shared" ref="W6:W35" si="4">U6+R6</f>
        <v>250085.28571428574</v>
      </c>
    </row>
    <row r="7" spans="1:23" ht="15" customHeight="1">
      <c r="A7" s="15">
        <v>3</v>
      </c>
      <c r="B7" s="24" t="s">
        <v>24</v>
      </c>
      <c r="C7" s="16" t="s">
        <v>25</v>
      </c>
      <c r="D7" s="17" t="s">
        <v>21</v>
      </c>
      <c r="E7" s="18">
        <v>14</v>
      </c>
      <c r="F7" s="18">
        <v>452</v>
      </c>
      <c r="G7" s="19">
        <v>45200</v>
      </c>
      <c r="H7" s="20"/>
      <c r="I7" s="55">
        <v>5700</v>
      </c>
      <c r="J7" s="55">
        <v>60</v>
      </c>
      <c r="K7" s="55">
        <v>2090</v>
      </c>
      <c r="L7" s="55">
        <v>22</v>
      </c>
      <c r="M7" s="55">
        <v>2850</v>
      </c>
      <c r="N7" s="55">
        <v>30</v>
      </c>
      <c r="O7" s="55">
        <v>1425</v>
      </c>
      <c r="P7" s="55">
        <v>15</v>
      </c>
      <c r="Q7" s="55">
        <f t="shared" si="0"/>
        <v>12065</v>
      </c>
      <c r="R7" s="56">
        <f t="shared" si="2"/>
        <v>10772.321428571429</v>
      </c>
      <c r="S7" s="50">
        <f t="shared" si="1"/>
        <v>127</v>
      </c>
      <c r="T7" s="21">
        <v>150050</v>
      </c>
      <c r="U7" s="25">
        <v>124225.78571428571</v>
      </c>
      <c r="V7" s="1">
        <f t="shared" si="3"/>
        <v>162115</v>
      </c>
      <c r="W7" s="49">
        <f t="shared" si="4"/>
        <v>134998.10714285713</v>
      </c>
    </row>
    <row r="8" spans="1:23" ht="15" customHeight="1">
      <c r="A8" s="15">
        <v>4</v>
      </c>
      <c r="B8" s="24" t="s">
        <v>26</v>
      </c>
      <c r="C8" s="16" t="s">
        <v>27</v>
      </c>
      <c r="D8" s="17" t="s">
        <v>28</v>
      </c>
      <c r="E8" s="16">
        <v>5</v>
      </c>
      <c r="F8" s="18">
        <v>764</v>
      </c>
      <c r="G8" s="19">
        <v>94330</v>
      </c>
      <c r="H8" s="20"/>
      <c r="I8" s="55">
        <v>1055</v>
      </c>
      <c r="J8" s="55">
        <v>9</v>
      </c>
      <c r="K8" s="55">
        <v>1440</v>
      </c>
      <c r="L8" s="55">
        <v>12</v>
      </c>
      <c r="M8" s="55">
        <v>0</v>
      </c>
      <c r="N8" s="55">
        <v>0</v>
      </c>
      <c r="O8" s="55">
        <v>2495</v>
      </c>
      <c r="P8" s="55">
        <v>21</v>
      </c>
      <c r="Q8" s="55">
        <f t="shared" si="0"/>
        <v>4990</v>
      </c>
      <c r="R8" s="56">
        <f t="shared" si="2"/>
        <v>4455.3571428571431</v>
      </c>
      <c r="S8" s="50">
        <f t="shared" si="1"/>
        <v>42</v>
      </c>
      <c r="T8" s="21">
        <v>434365</v>
      </c>
      <c r="U8" s="25">
        <v>373742.67857142864</v>
      </c>
      <c r="V8" s="1">
        <f t="shared" si="3"/>
        <v>439355</v>
      </c>
      <c r="W8" s="49">
        <f t="shared" si="4"/>
        <v>378198.0357142858</v>
      </c>
    </row>
    <row r="9" spans="1:23" ht="15" customHeight="1">
      <c r="A9" s="15">
        <v>5</v>
      </c>
      <c r="B9" s="24" t="s">
        <v>29</v>
      </c>
      <c r="C9" s="16" t="s">
        <v>30</v>
      </c>
      <c r="D9" s="17" t="s">
        <v>21</v>
      </c>
      <c r="E9" s="16">
        <v>5</v>
      </c>
      <c r="F9" s="18">
        <v>320</v>
      </c>
      <c r="G9" s="19">
        <v>46400</v>
      </c>
      <c r="H9" s="20"/>
      <c r="I9" s="55">
        <v>3230</v>
      </c>
      <c r="J9" s="55">
        <v>34</v>
      </c>
      <c r="K9" s="55">
        <v>2755</v>
      </c>
      <c r="L9" s="55">
        <v>29</v>
      </c>
      <c r="M9" s="55">
        <v>2375</v>
      </c>
      <c r="N9" s="55">
        <v>25</v>
      </c>
      <c r="O9" s="55">
        <v>1140</v>
      </c>
      <c r="P9" s="55">
        <v>12</v>
      </c>
      <c r="Q9" s="55">
        <f t="shared" si="0"/>
        <v>9500</v>
      </c>
      <c r="R9" s="56">
        <f t="shared" si="2"/>
        <v>8482.1428571428569</v>
      </c>
      <c r="S9" s="50">
        <f t="shared" si="1"/>
        <v>100</v>
      </c>
      <c r="T9" s="21">
        <v>128449</v>
      </c>
      <c r="U9" s="25">
        <v>117102.85714285713</v>
      </c>
      <c r="V9" s="1">
        <f t="shared" si="3"/>
        <v>137949</v>
      </c>
      <c r="W9" s="49">
        <f t="shared" si="4"/>
        <v>125584.99999999999</v>
      </c>
    </row>
    <row r="10" spans="1:23" ht="15" customHeight="1">
      <c r="A10" s="15">
        <v>6</v>
      </c>
      <c r="B10" s="26" t="s">
        <v>31</v>
      </c>
      <c r="C10" s="16" t="s">
        <v>32</v>
      </c>
      <c r="D10" s="17" t="s">
        <v>33</v>
      </c>
      <c r="E10" s="16">
        <v>5</v>
      </c>
      <c r="F10" s="18">
        <v>410</v>
      </c>
      <c r="G10" s="19">
        <v>60270</v>
      </c>
      <c r="H10" s="20"/>
      <c r="I10" s="55">
        <v>485</v>
      </c>
      <c r="J10" s="55">
        <v>5</v>
      </c>
      <c r="K10" s="55">
        <v>485</v>
      </c>
      <c r="L10" s="55">
        <v>5</v>
      </c>
      <c r="M10" s="55">
        <v>0</v>
      </c>
      <c r="N10" s="55">
        <v>0</v>
      </c>
      <c r="O10" s="55">
        <v>582</v>
      </c>
      <c r="P10" s="55">
        <v>6</v>
      </c>
      <c r="Q10" s="55">
        <f t="shared" si="0"/>
        <v>1552</v>
      </c>
      <c r="R10" s="56">
        <f t="shared" si="2"/>
        <v>1385.7142857142858</v>
      </c>
      <c r="S10" s="50">
        <f t="shared" si="1"/>
        <v>16</v>
      </c>
      <c r="T10" s="21">
        <v>114875</v>
      </c>
      <c r="U10" s="25">
        <v>97064.96428571429</v>
      </c>
      <c r="V10" s="1">
        <f t="shared" si="3"/>
        <v>116427</v>
      </c>
      <c r="W10" s="49">
        <f t="shared" si="4"/>
        <v>98450.67857142858</v>
      </c>
    </row>
    <row r="11" spans="1:23" ht="15" customHeight="1">
      <c r="A11" s="15">
        <v>7</v>
      </c>
      <c r="B11" s="24" t="s">
        <v>34</v>
      </c>
      <c r="C11" s="16" t="s">
        <v>35</v>
      </c>
      <c r="D11" s="17" t="s">
        <v>28</v>
      </c>
      <c r="E11" s="16">
        <v>5</v>
      </c>
      <c r="F11" s="18">
        <v>414</v>
      </c>
      <c r="G11" s="19">
        <v>49630</v>
      </c>
      <c r="H11" s="20"/>
      <c r="I11" s="55">
        <v>780</v>
      </c>
      <c r="J11" s="55">
        <v>8</v>
      </c>
      <c r="K11" s="55">
        <v>675</v>
      </c>
      <c r="L11" s="55">
        <v>7</v>
      </c>
      <c r="M11" s="55">
        <v>0</v>
      </c>
      <c r="N11" s="55">
        <v>0</v>
      </c>
      <c r="O11" s="55">
        <v>0</v>
      </c>
      <c r="P11" s="55">
        <v>0</v>
      </c>
      <c r="Q11" s="55">
        <f t="shared" si="0"/>
        <v>1455</v>
      </c>
      <c r="R11" s="56">
        <f t="shared" si="2"/>
        <v>1299.1071428571429</v>
      </c>
      <c r="S11" s="50">
        <f t="shared" si="1"/>
        <v>15</v>
      </c>
      <c r="T11" s="21">
        <v>233980</v>
      </c>
      <c r="U11" s="25">
        <v>200136.85714285719</v>
      </c>
      <c r="V11" s="1">
        <f t="shared" si="3"/>
        <v>235435</v>
      </c>
      <c r="W11" s="49">
        <f t="shared" si="4"/>
        <v>201435.96428571432</v>
      </c>
    </row>
    <row r="12" spans="1:23" ht="15" customHeight="1">
      <c r="A12" s="15">
        <v>8</v>
      </c>
      <c r="B12" s="24" t="s">
        <v>24</v>
      </c>
      <c r="C12" s="16" t="s">
        <v>36</v>
      </c>
      <c r="D12" s="17" t="s">
        <v>37</v>
      </c>
      <c r="E12" s="16">
        <v>5</v>
      </c>
      <c r="F12" s="18">
        <v>312</v>
      </c>
      <c r="G12" s="19">
        <v>45240</v>
      </c>
      <c r="H12" s="20"/>
      <c r="I12" s="55">
        <v>950</v>
      </c>
      <c r="J12" s="55">
        <v>10</v>
      </c>
      <c r="K12" s="55">
        <v>380</v>
      </c>
      <c r="L12" s="55">
        <v>4</v>
      </c>
      <c r="M12" s="55">
        <v>1805</v>
      </c>
      <c r="N12" s="55">
        <v>19</v>
      </c>
      <c r="O12" s="55">
        <v>570</v>
      </c>
      <c r="P12" s="55">
        <v>6</v>
      </c>
      <c r="Q12" s="55">
        <f t="shared" si="0"/>
        <v>3705</v>
      </c>
      <c r="R12" s="56">
        <f t="shared" si="2"/>
        <v>3308.0357142857142</v>
      </c>
      <c r="S12" s="50">
        <f t="shared" si="1"/>
        <v>39</v>
      </c>
      <c r="T12" s="21">
        <v>167960</v>
      </c>
      <c r="U12" s="25">
        <v>144126.03571428574</v>
      </c>
      <c r="V12" s="1">
        <f t="shared" si="3"/>
        <v>171665</v>
      </c>
      <c r="W12" s="49">
        <f t="shared" si="4"/>
        <v>147434.07142857145</v>
      </c>
    </row>
    <row r="13" spans="1:23" ht="15" customHeight="1">
      <c r="A13" s="15">
        <v>9</v>
      </c>
      <c r="B13" s="24" t="s">
        <v>38</v>
      </c>
      <c r="C13" s="16" t="s">
        <v>39</v>
      </c>
      <c r="D13" s="17" t="s">
        <v>33</v>
      </c>
      <c r="E13" s="16">
        <v>5</v>
      </c>
      <c r="F13" s="18">
        <v>310</v>
      </c>
      <c r="G13" s="19">
        <v>44950</v>
      </c>
      <c r="H13" s="20"/>
      <c r="I13" s="55">
        <v>570</v>
      </c>
      <c r="J13" s="55">
        <v>6</v>
      </c>
      <c r="K13" s="55">
        <v>950</v>
      </c>
      <c r="L13" s="55">
        <v>10</v>
      </c>
      <c r="M13" s="55">
        <v>760</v>
      </c>
      <c r="N13" s="55">
        <v>8</v>
      </c>
      <c r="O13" s="55">
        <v>1160</v>
      </c>
      <c r="P13" s="55">
        <v>12</v>
      </c>
      <c r="Q13" s="55">
        <f t="shared" si="0"/>
        <v>3440</v>
      </c>
      <c r="R13" s="56">
        <f t="shared" si="2"/>
        <v>3071.4285714285716</v>
      </c>
      <c r="S13" s="50">
        <f t="shared" si="1"/>
        <v>36</v>
      </c>
      <c r="T13" s="21">
        <v>177625</v>
      </c>
      <c r="U13" s="25">
        <v>151194.75</v>
      </c>
      <c r="V13" s="1">
        <f t="shared" si="3"/>
        <v>181065</v>
      </c>
      <c r="W13" s="49">
        <f t="shared" si="4"/>
        <v>154266.17857142858</v>
      </c>
    </row>
    <row r="14" spans="1:23" s="37" customFormat="1" ht="15" customHeight="1">
      <c r="A14" s="27">
        <v>10</v>
      </c>
      <c r="B14" s="24" t="s">
        <v>40</v>
      </c>
      <c r="C14" s="28" t="s">
        <v>41</v>
      </c>
      <c r="D14" s="29" t="s">
        <v>33</v>
      </c>
      <c r="E14" s="16">
        <v>5</v>
      </c>
      <c r="F14" s="30">
        <v>458</v>
      </c>
      <c r="G14" s="31">
        <v>43510</v>
      </c>
      <c r="H14" s="32"/>
      <c r="I14" s="57">
        <v>1235</v>
      </c>
      <c r="J14" s="57">
        <v>13</v>
      </c>
      <c r="K14" s="57">
        <v>1710</v>
      </c>
      <c r="L14" s="57">
        <v>18</v>
      </c>
      <c r="M14" s="57">
        <v>0</v>
      </c>
      <c r="N14" s="57">
        <v>0</v>
      </c>
      <c r="O14" s="57">
        <v>0</v>
      </c>
      <c r="P14" s="57">
        <v>0</v>
      </c>
      <c r="Q14" s="55">
        <f t="shared" si="0"/>
        <v>2945</v>
      </c>
      <c r="R14" s="56">
        <f t="shared" si="2"/>
        <v>2629.4642857142858</v>
      </c>
      <c r="S14" s="50">
        <f t="shared" si="1"/>
        <v>31</v>
      </c>
      <c r="T14" s="21">
        <v>139317</v>
      </c>
      <c r="U14" s="25">
        <v>129556.60714285713</v>
      </c>
      <c r="V14" s="1">
        <f t="shared" si="3"/>
        <v>142262</v>
      </c>
      <c r="W14" s="49">
        <f t="shared" si="4"/>
        <v>132186.07142857142</v>
      </c>
    </row>
    <row r="15" spans="1:23" s="37" customFormat="1" ht="15" customHeight="1">
      <c r="A15" s="27">
        <v>11</v>
      </c>
      <c r="B15" s="24" t="s">
        <v>42</v>
      </c>
      <c r="C15" s="28" t="s">
        <v>43</v>
      </c>
      <c r="D15" s="29" t="s">
        <v>21</v>
      </c>
      <c r="E15" s="16">
        <v>5</v>
      </c>
      <c r="F15" s="30">
        <v>580</v>
      </c>
      <c r="G15" s="31">
        <v>55100</v>
      </c>
      <c r="H15" s="32"/>
      <c r="I15" s="57">
        <v>1425</v>
      </c>
      <c r="J15" s="57">
        <v>15</v>
      </c>
      <c r="K15" s="57">
        <v>1330</v>
      </c>
      <c r="L15" s="57">
        <v>14</v>
      </c>
      <c r="M15" s="57">
        <v>855</v>
      </c>
      <c r="N15" s="57">
        <v>9</v>
      </c>
      <c r="O15" s="57">
        <v>0</v>
      </c>
      <c r="P15" s="57">
        <v>0</v>
      </c>
      <c r="Q15" s="55">
        <f t="shared" si="0"/>
        <v>3610</v>
      </c>
      <c r="R15" s="56">
        <f t="shared" si="2"/>
        <v>3223.2142857142858</v>
      </c>
      <c r="S15" s="50">
        <f t="shared" si="1"/>
        <v>38</v>
      </c>
      <c r="T15" s="21">
        <v>25451</v>
      </c>
      <c r="U15" s="25">
        <v>24598.285714285714</v>
      </c>
      <c r="V15" s="1">
        <f t="shared" si="3"/>
        <v>29061</v>
      </c>
      <c r="W15" s="49">
        <f t="shared" si="4"/>
        <v>27821.5</v>
      </c>
    </row>
    <row r="16" spans="1:23" s="37" customFormat="1" ht="15" customHeight="1">
      <c r="A16" s="27">
        <v>12</v>
      </c>
      <c r="B16" s="24" t="s">
        <v>44</v>
      </c>
      <c r="C16" s="28" t="s">
        <v>45</v>
      </c>
      <c r="D16" s="29" t="s">
        <v>21</v>
      </c>
      <c r="E16" s="16">
        <v>5</v>
      </c>
      <c r="F16" s="30">
        <v>311</v>
      </c>
      <c r="G16" s="31">
        <v>29545</v>
      </c>
      <c r="H16" s="32"/>
      <c r="I16" s="57">
        <v>4300</v>
      </c>
      <c r="J16" s="57">
        <v>43</v>
      </c>
      <c r="K16" s="57">
        <v>3200</v>
      </c>
      <c r="L16" s="57">
        <v>32</v>
      </c>
      <c r="M16" s="57">
        <v>1900</v>
      </c>
      <c r="N16" s="57">
        <v>19</v>
      </c>
      <c r="O16" s="57">
        <v>2400</v>
      </c>
      <c r="P16" s="57">
        <v>24</v>
      </c>
      <c r="Q16" s="55">
        <f t="shared" si="0"/>
        <v>11800</v>
      </c>
      <c r="R16" s="56">
        <f t="shared" si="2"/>
        <v>10535.714285714286</v>
      </c>
      <c r="S16" s="50">
        <f t="shared" si="1"/>
        <v>118</v>
      </c>
      <c r="T16" s="21">
        <v>147641</v>
      </c>
      <c r="U16" s="25">
        <v>137768.14285714287</v>
      </c>
      <c r="V16" s="1">
        <f t="shared" si="3"/>
        <v>159441</v>
      </c>
      <c r="W16" s="49">
        <f t="shared" si="4"/>
        <v>148303.85714285716</v>
      </c>
    </row>
    <row r="17" spans="1:23" s="37" customFormat="1" ht="15" customHeight="1">
      <c r="A17" s="27">
        <v>13</v>
      </c>
      <c r="B17" s="24" t="s">
        <v>46</v>
      </c>
      <c r="C17" s="28" t="s">
        <v>47</v>
      </c>
      <c r="D17" s="29" t="s">
        <v>21</v>
      </c>
      <c r="E17" s="16">
        <v>5</v>
      </c>
      <c r="F17" s="30">
        <v>302</v>
      </c>
      <c r="G17" s="31">
        <v>28550</v>
      </c>
      <c r="H17" s="32"/>
      <c r="I17" s="57">
        <v>2185</v>
      </c>
      <c r="J17" s="57">
        <v>23</v>
      </c>
      <c r="K17" s="57">
        <v>950</v>
      </c>
      <c r="L17" s="57">
        <v>10</v>
      </c>
      <c r="M17" s="57">
        <v>1425</v>
      </c>
      <c r="N17" s="57">
        <v>15</v>
      </c>
      <c r="O17" s="57">
        <v>3040</v>
      </c>
      <c r="P17" s="57">
        <v>32</v>
      </c>
      <c r="Q17" s="55">
        <f t="shared" si="0"/>
        <v>7600</v>
      </c>
      <c r="R17" s="56">
        <f t="shared" si="2"/>
        <v>6785.7142857142853</v>
      </c>
      <c r="S17" s="50">
        <f t="shared" si="1"/>
        <v>80</v>
      </c>
      <c r="T17" s="21">
        <v>89748</v>
      </c>
      <c r="U17" s="25">
        <v>76590.35714285713</v>
      </c>
      <c r="V17" s="1">
        <f t="shared" si="3"/>
        <v>97348</v>
      </c>
      <c r="W17" s="49">
        <f t="shared" si="4"/>
        <v>83376.07142857142</v>
      </c>
    </row>
    <row r="18" spans="1:23" s="37" customFormat="1" ht="15" customHeight="1">
      <c r="A18" s="27">
        <v>14</v>
      </c>
      <c r="B18" s="24" t="s">
        <v>48</v>
      </c>
      <c r="C18" s="28" t="s">
        <v>49</v>
      </c>
      <c r="D18" s="29" t="s">
        <v>21</v>
      </c>
      <c r="E18" s="16">
        <v>5</v>
      </c>
      <c r="F18" s="30">
        <v>847</v>
      </c>
      <c r="G18" s="31">
        <v>94415</v>
      </c>
      <c r="H18" s="32"/>
      <c r="I18" s="57">
        <v>15015</v>
      </c>
      <c r="J18" s="57">
        <v>143</v>
      </c>
      <c r="K18" s="57">
        <v>6825</v>
      </c>
      <c r="L18" s="57">
        <v>65</v>
      </c>
      <c r="M18" s="57">
        <v>6930</v>
      </c>
      <c r="N18" s="57">
        <v>66</v>
      </c>
      <c r="O18" s="57">
        <v>6930</v>
      </c>
      <c r="P18" s="57">
        <v>66</v>
      </c>
      <c r="Q18" s="55">
        <f t="shared" si="0"/>
        <v>35700</v>
      </c>
      <c r="R18" s="56">
        <f t="shared" si="2"/>
        <v>31875</v>
      </c>
      <c r="S18" s="50">
        <f t="shared" si="1"/>
        <v>340</v>
      </c>
      <c r="T18" s="21">
        <v>517330</v>
      </c>
      <c r="U18" s="25">
        <v>449421.42857142858</v>
      </c>
      <c r="V18" s="1">
        <f t="shared" si="3"/>
        <v>553030</v>
      </c>
      <c r="W18" s="49">
        <f t="shared" si="4"/>
        <v>481296.42857142858</v>
      </c>
    </row>
    <row r="19" spans="1:23" s="37" customFormat="1" ht="15" customHeight="1">
      <c r="A19" s="27">
        <v>15</v>
      </c>
      <c r="B19" s="28" t="s">
        <v>50</v>
      </c>
      <c r="C19" s="28" t="s">
        <v>51</v>
      </c>
      <c r="D19" s="29" t="s">
        <v>52</v>
      </c>
      <c r="E19" s="16">
        <v>5</v>
      </c>
      <c r="F19" s="30">
        <v>275</v>
      </c>
      <c r="G19" s="31">
        <v>28875</v>
      </c>
      <c r="H19" s="32"/>
      <c r="I19" s="57">
        <v>2945</v>
      </c>
      <c r="J19" s="57">
        <v>31</v>
      </c>
      <c r="K19" s="57">
        <v>1045</v>
      </c>
      <c r="L19" s="57">
        <v>11</v>
      </c>
      <c r="M19" s="57">
        <v>10450</v>
      </c>
      <c r="N19" s="57">
        <v>110</v>
      </c>
      <c r="O19" s="57">
        <v>2755</v>
      </c>
      <c r="P19" s="57">
        <v>29</v>
      </c>
      <c r="Q19" s="55">
        <f t="shared" si="0"/>
        <v>17195</v>
      </c>
      <c r="R19" s="56">
        <f t="shared" si="2"/>
        <v>15352.678571428571</v>
      </c>
      <c r="S19" s="50">
        <f t="shared" si="1"/>
        <v>181</v>
      </c>
      <c r="T19" s="21">
        <v>114785</v>
      </c>
      <c r="U19" s="25">
        <v>101836.82142857142</v>
      </c>
      <c r="V19" s="1">
        <f t="shared" si="3"/>
        <v>131980</v>
      </c>
      <c r="W19" s="49">
        <f t="shared" si="4"/>
        <v>117189.49999999999</v>
      </c>
    </row>
    <row r="20" spans="1:23" s="37" customFormat="1" ht="15" customHeight="1">
      <c r="A20" s="27">
        <v>16</v>
      </c>
      <c r="B20" s="28" t="s">
        <v>53</v>
      </c>
      <c r="C20" s="28" t="s">
        <v>32</v>
      </c>
      <c r="D20" s="29" t="s">
        <v>28</v>
      </c>
      <c r="E20" s="16">
        <v>5</v>
      </c>
      <c r="F20" s="30">
        <v>550</v>
      </c>
      <c r="G20" s="31">
        <v>63750</v>
      </c>
      <c r="H20" s="32"/>
      <c r="I20" s="57">
        <v>0</v>
      </c>
      <c r="J20" s="57">
        <v>0</v>
      </c>
      <c r="K20" s="57">
        <v>735</v>
      </c>
      <c r="L20" s="57">
        <v>7</v>
      </c>
      <c r="M20" s="57">
        <v>630</v>
      </c>
      <c r="N20" s="57">
        <v>6</v>
      </c>
      <c r="O20" s="57">
        <v>0</v>
      </c>
      <c r="P20" s="57">
        <v>0</v>
      </c>
      <c r="Q20" s="55">
        <f t="shared" si="0"/>
        <v>1365</v>
      </c>
      <c r="R20" s="56">
        <f t="shared" si="2"/>
        <v>1218.75</v>
      </c>
      <c r="S20" s="50">
        <f t="shared" si="1"/>
        <v>13</v>
      </c>
      <c r="T20" s="21">
        <v>161710</v>
      </c>
      <c r="U20" s="25">
        <v>138288.57142857142</v>
      </c>
      <c r="V20" s="1">
        <f t="shared" si="3"/>
        <v>163075</v>
      </c>
      <c r="W20" s="49">
        <f t="shared" si="4"/>
        <v>139507.32142857142</v>
      </c>
    </row>
    <row r="21" spans="1:23" s="37" customFormat="1" ht="15" customHeight="1">
      <c r="A21" s="27">
        <v>17</v>
      </c>
      <c r="B21" s="28" t="s">
        <v>54</v>
      </c>
      <c r="C21" s="28" t="s">
        <v>55</v>
      </c>
      <c r="D21" s="29" t="s">
        <v>33</v>
      </c>
      <c r="E21" s="16">
        <v>5</v>
      </c>
      <c r="F21" s="30">
        <v>570</v>
      </c>
      <c r="G21" s="31">
        <v>26250</v>
      </c>
      <c r="H21" s="32"/>
      <c r="I21" s="57">
        <v>315</v>
      </c>
      <c r="J21" s="57">
        <v>3</v>
      </c>
      <c r="K21" s="57">
        <v>0</v>
      </c>
      <c r="L21" s="57">
        <v>0</v>
      </c>
      <c r="M21" s="57">
        <v>705</v>
      </c>
      <c r="N21" s="57">
        <v>7</v>
      </c>
      <c r="O21" s="57">
        <v>0</v>
      </c>
      <c r="P21" s="57">
        <v>0</v>
      </c>
      <c r="Q21" s="55">
        <f t="shared" si="0"/>
        <v>1020</v>
      </c>
      <c r="R21" s="56">
        <f t="shared" si="2"/>
        <v>910.71428571428567</v>
      </c>
      <c r="S21" s="50">
        <f t="shared" si="1"/>
        <v>10</v>
      </c>
      <c r="T21" s="21">
        <v>23591</v>
      </c>
      <c r="U21" s="25">
        <v>21570</v>
      </c>
      <c r="V21" s="1">
        <f t="shared" si="3"/>
        <v>24611</v>
      </c>
      <c r="W21" s="49">
        <f t="shared" si="4"/>
        <v>22480.714285714286</v>
      </c>
    </row>
    <row r="22" spans="1:23" s="37" customFormat="1" ht="15" customHeight="1">
      <c r="A22" s="27">
        <v>18</v>
      </c>
      <c r="B22" s="28" t="s">
        <v>56</v>
      </c>
      <c r="C22" s="28" t="s">
        <v>57</v>
      </c>
      <c r="D22" s="29" t="s">
        <v>21</v>
      </c>
      <c r="E22" s="16">
        <v>5</v>
      </c>
      <c r="F22" s="30">
        <v>400</v>
      </c>
      <c r="G22" s="31">
        <v>38000</v>
      </c>
      <c r="H22" s="32"/>
      <c r="I22" s="57">
        <v>1995</v>
      </c>
      <c r="J22" s="57">
        <v>21</v>
      </c>
      <c r="K22" s="57">
        <v>1235</v>
      </c>
      <c r="L22" s="57">
        <v>13</v>
      </c>
      <c r="M22" s="57">
        <v>1235</v>
      </c>
      <c r="N22" s="57">
        <v>13</v>
      </c>
      <c r="O22" s="57">
        <v>2565</v>
      </c>
      <c r="P22" s="57">
        <v>27</v>
      </c>
      <c r="Q22" s="55">
        <f t="shared" si="0"/>
        <v>7030</v>
      </c>
      <c r="R22" s="56">
        <f t="shared" si="2"/>
        <v>6276.7857142857147</v>
      </c>
      <c r="S22" s="50">
        <f t="shared" si="1"/>
        <v>74</v>
      </c>
      <c r="T22" s="21">
        <v>47822</v>
      </c>
      <c r="U22" s="25">
        <v>41411.785714285717</v>
      </c>
      <c r="V22" s="1">
        <f t="shared" si="3"/>
        <v>54852</v>
      </c>
      <c r="W22" s="49">
        <f t="shared" si="4"/>
        <v>47688.571428571435</v>
      </c>
    </row>
    <row r="23" spans="1:23" s="37" customFormat="1" ht="15" customHeight="1">
      <c r="A23" s="27">
        <v>19</v>
      </c>
      <c r="B23" s="28" t="s">
        <v>58</v>
      </c>
      <c r="C23" s="28" t="s">
        <v>57</v>
      </c>
      <c r="D23" s="29" t="s">
        <v>21</v>
      </c>
      <c r="E23" s="16">
        <v>5</v>
      </c>
      <c r="F23" s="30">
        <v>180</v>
      </c>
      <c r="G23" s="31">
        <v>17100</v>
      </c>
      <c r="H23" s="32"/>
      <c r="I23" s="57">
        <v>1235</v>
      </c>
      <c r="J23" s="57">
        <v>13</v>
      </c>
      <c r="K23" s="57">
        <v>950</v>
      </c>
      <c r="L23" s="57">
        <v>10</v>
      </c>
      <c r="M23" s="57">
        <v>0</v>
      </c>
      <c r="N23" s="57">
        <v>0</v>
      </c>
      <c r="O23" s="57">
        <v>570</v>
      </c>
      <c r="P23" s="57">
        <v>6</v>
      </c>
      <c r="Q23" s="55">
        <f t="shared" si="0"/>
        <v>2755</v>
      </c>
      <c r="R23" s="56">
        <f t="shared" si="2"/>
        <v>2459.8214285714284</v>
      </c>
      <c r="S23" s="50">
        <f t="shared" si="1"/>
        <v>29</v>
      </c>
      <c r="T23" s="21">
        <v>26505</v>
      </c>
      <c r="U23" s="25">
        <v>22664</v>
      </c>
      <c r="V23" s="1">
        <f t="shared" si="3"/>
        <v>29260</v>
      </c>
      <c r="W23" s="49">
        <f t="shared" si="4"/>
        <v>25123.821428571428</v>
      </c>
    </row>
    <row r="24" spans="1:23" s="37" customFormat="1" ht="15" customHeight="1">
      <c r="A24" s="27">
        <v>20</v>
      </c>
      <c r="B24" s="28" t="s">
        <v>59</v>
      </c>
      <c r="C24" s="28" t="s">
        <v>60</v>
      </c>
      <c r="D24" s="29" t="s">
        <v>33</v>
      </c>
      <c r="E24" s="16">
        <v>5</v>
      </c>
      <c r="F24" s="30">
        <v>400</v>
      </c>
      <c r="G24" s="31">
        <v>38000</v>
      </c>
      <c r="H24" s="32"/>
      <c r="I24" s="57">
        <v>0</v>
      </c>
      <c r="J24" s="57">
        <v>0</v>
      </c>
      <c r="K24" s="57">
        <v>0</v>
      </c>
      <c r="L24" s="57">
        <v>0</v>
      </c>
      <c r="M24" s="57">
        <v>400</v>
      </c>
      <c r="N24" s="57">
        <v>4</v>
      </c>
      <c r="O24" s="57">
        <v>0</v>
      </c>
      <c r="P24" s="57">
        <v>0</v>
      </c>
      <c r="Q24" s="55">
        <f t="shared" si="0"/>
        <v>400</v>
      </c>
      <c r="R24" s="56">
        <f t="shared" si="2"/>
        <v>357.14285714285717</v>
      </c>
      <c r="S24" s="50">
        <f t="shared" si="1"/>
        <v>4</v>
      </c>
      <c r="T24" s="21">
        <v>115886</v>
      </c>
      <c r="U24" s="25">
        <v>110195.14285714287</v>
      </c>
      <c r="V24" s="1">
        <f t="shared" si="3"/>
        <v>116286</v>
      </c>
      <c r="W24" s="49">
        <f t="shared" si="4"/>
        <v>110552.28571428572</v>
      </c>
    </row>
    <row r="25" spans="1:23" s="37" customFormat="1" ht="15" customHeight="1">
      <c r="A25" s="27">
        <v>21</v>
      </c>
      <c r="B25" s="28" t="s">
        <v>61</v>
      </c>
      <c r="C25" s="28" t="s">
        <v>62</v>
      </c>
      <c r="D25" s="29" t="s">
        <v>21</v>
      </c>
      <c r="E25" s="16">
        <v>5</v>
      </c>
      <c r="F25" s="30">
        <v>370</v>
      </c>
      <c r="G25" s="31">
        <v>28750</v>
      </c>
      <c r="H25" s="32"/>
      <c r="I25" s="57">
        <v>1700</v>
      </c>
      <c r="J25" s="57">
        <v>17</v>
      </c>
      <c r="K25" s="57">
        <v>2100</v>
      </c>
      <c r="L25" s="57">
        <v>21</v>
      </c>
      <c r="M25" s="57">
        <v>1000</v>
      </c>
      <c r="N25" s="57">
        <v>10</v>
      </c>
      <c r="O25" s="57">
        <v>2100</v>
      </c>
      <c r="P25" s="57">
        <v>21</v>
      </c>
      <c r="Q25" s="55">
        <f t="shared" si="0"/>
        <v>6900</v>
      </c>
      <c r="R25" s="56">
        <f t="shared" si="2"/>
        <v>6160.7142857142853</v>
      </c>
      <c r="S25" s="50">
        <f t="shared" si="1"/>
        <v>69</v>
      </c>
      <c r="T25" s="21">
        <v>31493</v>
      </c>
      <c r="U25" s="25">
        <v>27610</v>
      </c>
      <c r="V25" s="1">
        <f t="shared" si="3"/>
        <v>38393</v>
      </c>
      <c r="W25" s="49">
        <f t="shared" si="4"/>
        <v>33770.714285714283</v>
      </c>
    </row>
    <row r="26" spans="1:23" s="37" customFormat="1" ht="15" customHeight="1">
      <c r="A26" s="27">
        <v>22</v>
      </c>
      <c r="B26" s="28" t="s">
        <v>63</v>
      </c>
      <c r="C26" s="28" t="s">
        <v>57</v>
      </c>
      <c r="D26" s="29" t="s">
        <v>21</v>
      </c>
      <c r="E26" s="16">
        <v>5</v>
      </c>
      <c r="F26" s="30">
        <v>664</v>
      </c>
      <c r="G26" s="31">
        <v>21088</v>
      </c>
      <c r="H26" s="32"/>
      <c r="I26" s="57">
        <v>2375</v>
      </c>
      <c r="J26" s="57">
        <v>25</v>
      </c>
      <c r="K26" s="57">
        <v>855</v>
      </c>
      <c r="L26" s="57">
        <v>9</v>
      </c>
      <c r="M26" s="57">
        <v>570</v>
      </c>
      <c r="N26" s="57">
        <v>6</v>
      </c>
      <c r="O26" s="57">
        <v>760</v>
      </c>
      <c r="P26" s="57">
        <v>8</v>
      </c>
      <c r="Q26" s="55">
        <f t="shared" si="0"/>
        <v>4560</v>
      </c>
      <c r="R26" s="56">
        <f t="shared" si="2"/>
        <v>4071.4285714285716</v>
      </c>
      <c r="S26" s="50">
        <f t="shared" si="1"/>
        <v>48</v>
      </c>
      <c r="T26" s="21">
        <v>73115</v>
      </c>
      <c r="U26" s="25">
        <v>61950.892857142855</v>
      </c>
      <c r="V26" s="1">
        <f t="shared" si="3"/>
        <v>77675</v>
      </c>
      <c r="W26" s="49">
        <f t="shared" si="4"/>
        <v>66022.32142857142</v>
      </c>
    </row>
    <row r="27" spans="1:23" s="37" customFormat="1" ht="17.399999999999999">
      <c r="A27" s="27">
        <v>23</v>
      </c>
      <c r="B27" s="24" t="s">
        <v>64</v>
      </c>
      <c r="C27" s="28" t="s">
        <v>65</v>
      </c>
      <c r="D27" s="29" t="s">
        <v>21</v>
      </c>
      <c r="E27" s="16">
        <v>5</v>
      </c>
      <c r="F27" s="30">
        <v>525</v>
      </c>
      <c r="G27" s="31">
        <v>42975</v>
      </c>
      <c r="H27" s="32"/>
      <c r="I27" s="57">
        <v>3610</v>
      </c>
      <c r="J27" s="57">
        <v>38</v>
      </c>
      <c r="K27" s="57">
        <v>3040</v>
      </c>
      <c r="L27" s="57">
        <v>32</v>
      </c>
      <c r="M27" s="57">
        <v>1615</v>
      </c>
      <c r="N27" s="57">
        <v>17</v>
      </c>
      <c r="O27" s="57">
        <v>1330</v>
      </c>
      <c r="P27" s="57">
        <v>14</v>
      </c>
      <c r="Q27" s="55">
        <f t="shared" si="0"/>
        <v>9595</v>
      </c>
      <c r="R27" s="56">
        <f t="shared" si="2"/>
        <v>8566.9642857142862</v>
      </c>
      <c r="S27" s="50">
        <f t="shared" si="1"/>
        <v>101</v>
      </c>
      <c r="T27" s="21">
        <v>195885</v>
      </c>
      <c r="U27" s="25">
        <v>169442.42857142861</v>
      </c>
      <c r="V27" s="1">
        <f t="shared" si="3"/>
        <v>205480</v>
      </c>
      <c r="W27" s="49">
        <f t="shared" si="4"/>
        <v>178009.3928571429</v>
      </c>
    </row>
    <row r="28" spans="1:23" s="37" customFormat="1" ht="17.399999999999999">
      <c r="A28" s="27">
        <v>24</v>
      </c>
      <c r="B28" s="24" t="s">
        <v>66</v>
      </c>
      <c r="C28" s="28" t="s">
        <v>47</v>
      </c>
      <c r="D28" s="29" t="s">
        <v>67</v>
      </c>
      <c r="E28" s="16">
        <v>5</v>
      </c>
      <c r="F28" s="30">
        <v>449</v>
      </c>
      <c r="G28" s="31">
        <v>65105</v>
      </c>
      <c r="H28" s="32"/>
      <c r="I28" s="57">
        <v>0</v>
      </c>
      <c r="J28" s="57">
        <v>0</v>
      </c>
      <c r="K28" s="57">
        <v>0</v>
      </c>
      <c r="L28" s="57">
        <v>0</v>
      </c>
      <c r="M28" s="57">
        <v>2415</v>
      </c>
      <c r="N28" s="57">
        <v>23</v>
      </c>
      <c r="O28" s="57">
        <v>1470</v>
      </c>
      <c r="P28" s="57">
        <v>14</v>
      </c>
      <c r="Q28" s="55">
        <f t="shared" si="0"/>
        <v>3885</v>
      </c>
      <c r="R28" s="56">
        <f t="shared" si="2"/>
        <v>3468.75</v>
      </c>
      <c r="S28" s="50">
        <f t="shared" si="1"/>
        <v>37</v>
      </c>
      <c r="T28" s="21">
        <v>240390</v>
      </c>
      <c r="U28" s="25">
        <v>207517.60714285716</v>
      </c>
      <c r="V28" s="1">
        <f t="shared" si="3"/>
        <v>244275</v>
      </c>
      <c r="W28" s="49">
        <f t="shared" si="4"/>
        <v>210986.35714285716</v>
      </c>
    </row>
    <row r="29" spans="1:23" s="37" customFormat="1" ht="17.399999999999999">
      <c r="A29" s="27">
        <v>25</v>
      </c>
      <c r="B29" s="28" t="s">
        <v>68</v>
      </c>
      <c r="C29" s="28" t="s">
        <v>69</v>
      </c>
      <c r="D29" s="29" t="s">
        <v>21</v>
      </c>
      <c r="E29" s="16">
        <v>5</v>
      </c>
      <c r="F29" s="30">
        <v>450</v>
      </c>
      <c r="G29" s="31">
        <v>43650</v>
      </c>
      <c r="H29" s="32"/>
      <c r="I29" s="57">
        <v>776</v>
      </c>
      <c r="J29" s="57">
        <v>8</v>
      </c>
      <c r="K29" s="57">
        <v>388</v>
      </c>
      <c r="L29" s="57">
        <v>4</v>
      </c>
      <c r="M29" s="57">
        <v>1164</v>
      </c>
      <c r="N29" s="57">
        <v>12</v>
      </c>
      <c r="O29" s="57">
        <v>3104</v>
      </c>
      <c r="P29" s="57">
        <v>32</v>
      </c>
      <c r="Q29" s="55">
        <f t="shared" si="0"/>
        <v>5432</v>
      </c>
      <c r="R29" s="56">
        <f t="shared" si="2"/>
        <v>4850</v>
      </c>
      <c r="S29" s="50">
        <f t="shared" si="1"/>
        <v>56</v>
      </c>
      <c r="T29" s="21">
        <v>42254</v>
      </c>
      <c r="U29" s="25">
        <v>38596.821428571428</v>
      </c>
      <c r="V29" s="1">
        <f t="shared" si="3"/>
        <v>47686</v>
      </c>
      <c r="W29" s="49">
        <f t="shared" si="4"/>
        <v>43446.821428571428</v>
      </c>
    </row>
    <row r="30" spans="1:23" s="37" customFormat="1" ht="17.399999999999999">
      <c r="A30" s="27">
        <v>26</v>
      </c>
      <c r="B30" s="28" t="s">
        <v>70</v>
      </c>
      <c r="C30" s="28" t="s">
        <v>71</v>
      </c>
      <c r="D30" s="29" t="s">
        <v>21</v>
      </c>
      <c r="E30" s="16">
        <v>5</v>
      </c>
      <c r="F30" s="30">
        <v>300</v>
      </c>
      <c r="G30" s="31">
        <v>29100</v>
      </c>
      <c r="H30" s="32"/>
      <c r="I30" s="57">
        <v>1455</v>
      </c>
      <c r="J30" s="57">
        <v>15</v>
      </c>
      <c r="K30" s="57">
        <v>1746</v>
      </c>
      <c r="L30" s="57">
        <v>18</v>
      </c>
      <c r="M30" s="57">
        <v>582</v>
      </c>
      <c r="N30" s="57">
        <v>6</v>
      </c>
      <c r="O30" s="57">
        <v>1261</v>
      </c>
      <c r="P30" s="57">
        <v>13</v>
      </c>
      <c r="Q30" s="55">
        <f t="shared" si="0"/>
        <v>5044</v>
      </c>
      <c r="R30" s="56">
        <f t="shared" si="2"/>
        <v>4503.5714285714284</v>
      </c>
      <c r="S30" s="50">
        <f t="shared" si="1"/>
        <v>52</v>
      </c>
      <c r="T30" s="21">
        <v>39285</v>
      </c>
      <c r="U30" s="25">
        <v>34768.142857142855</v>
      </c>
      <c r="V30" s="1">
        <f t="shared" si="3"/>
        <v>44329</v>
      </c>
      <c r="W30" s="49">
        <f t="shared" si="4"/>
        <v>39271.714285714283</v>
      </c>
    </row>
    <row r="31" spans="1:23" s="37" customFormat="1" ht="17.399999999999999">
      <c r="A31" s="27">
        <v>27</v>
      </c>
      <c r="B31" s="28" t="s">
        <v>72</v>
      </c>
      <c r="C31" s="28" t="s">
        <v>73</v>
      </c>
      <c r="D31" s="29" t="s">
        <v>37</v>
      </c>
      <c r="E31" s="16">
        <v>5</v>
      </c>
      <c r="F31" s="30">
        <v>896</v>
      </c>
      <c r="G31" s="31">
        <v>144420</v>
      </c>
      <c r="H31" s="32"/>
      <c r="I31" s="57">
        <v>4150</v>
      </c>
      <c r="J31" s="57">
        <v>29</v>
      </c>
      <c r="K31" s="57">
        <v>4800</v>
      </c>
      <c r="L31" s="57">
        <v>40</v>
      </c>
      <c r="M31" s="57">
        <v>2350</v>
      </c>
      <c r="N31" s="57">
        <v>18</v>
      </c>
      <c r="O31" s="57">
        <v>0</v>
      </c>
      <c r="P31" s="57">
        <v>0</v>
      </c>
      <c r="Q31" s="55">
        <f t="shared" si="0"/>
        <v>11300</v>
      </c>
      <c r="R31" s="56">
        <f t="shared" si="2"/>
        <v>10089.285714285714</v>
      </c>
      <c r="S31" s="50">
        <f t="shared" si="1"/>
        <v>87</v>
      </c>
      <c r="T31" s="21">
        <v>509080</v>
      </c>
      <c r="U31" s="25">
        <v>444707.1071428571</v>
      </c>
      <c r="V31" s="1">
        <f t="shared" si="3"/>
        <v>520380</v>
      </c>
      <c r="W31" s="49">
        <f t="shared" si="4"/>
        <v>454796.39285714284</v>
      </c>
    </row>
    <row r="32" spans="1:23" ht="17.399999999999999">
      <c r="A32" s="15">
        <v>28</v>
      </c>
      <c r="B32" s="16" t="s">
        <v>74</v>
      </c>
      <c r="C32" s="16" t="s">
        <v>45</v>
      </c>
      <c r="D32" s="17" t="s">
        <v>33</v>
      </c>
      <c r="E32" s="16">
        <v>5</v>
      </c>
      <c r="F32" s="18">
        <v>360</v>
      </c>
      <c r="G32" s="19">
        <v>42700</v>
      </c>
      <c r="H32" s="20"/>
      <c r="I32" s="55">
        <v>375</v>
      </c>
      <c r="J32" s="55">
        <v>5</v>
      </c>
      <c r="K32" s="55"/>
      <c r="L32" s="55"/>
      <c r="M32" s="55">
        <v>910</v>
      </c>
      <c r="N32" s="55">
        <v>18</v>
      </c>
      <c r="O32" s="55">
        <v>1545</v>
      </c>
      <c r="P32" s="55">
        <v>27</v>
      </c>
      <c r="Q32" s="55">
        <f t="shared" si="0"/>
        <v>2830</v>
      </c>
      <c r="R32" s="56">
        <f t="shared" si="2"/>
        <v>2526.7857142857142</v>
      </c>
      <c r="S32" s="50">
        <f t="shared" si="1"/>
        <v>50</v>
      </c>
      <c r="T32" s="21">
        <v>143135</v>
      </c>
      <c r="U32" s="25">
        <v>124443.00000000001</v>
      </c>
      <c r="V32" s="1">
        <f t="shared" si="3"/>
        <v>145965</v>
      </c>
      <c r="W32" s="49">
        <f t="shared" si="4"/>
        <v>126969.78571428572</v>
      </c>
    </row>
    <row r="33" spans="1:23" s="37" customFormat="1" ht="17.399999999999999">
      <c r="A33" s="27">
        <v>29</v>
      </c>
      <c r="B33" s="28" t="s">
        <v>75</v>
      </c>
      <c r="C33" s="28" t="s">
        <v>76</v>
      </c>
      <c r="D33" s="29" t="s">
        <v>21</v>
      </c>
      <c r="E33" s="16">
        <v>5</v>
      </c>
      <c r="F33" s="30">
        <v>726</v>
      </c>
      <c r="G33" s="31">
        <v>32670</v>
      </c>
      <c r="H33" s="32"/>
      <c r="I33" s="57">
        <v>3990</v>
      </c>
      <c r="J33" s="57">
        <v>42</v>
      </c>
      <c r="K33" s="57">
        <v>3040</v>
      </c>
      <c r="L33" s="57">
        <v>32</v>
      </c>
      <c r="M33" s="57">
        <v>2090</v>
      </c>
      <c r="N33" s="57">
        <v>22</v>
      </c>
      <c r="O33" s="57">
        <v>1425</v>
      </c>
      <c r="P33" s="57">
        <v>15</v>
      </c>
      <c r="Q33" s="55">
        <f t="shared" si="0"/>
        <v>10545</v>
      </c>
      <c r="R33" s="56">
        <f t="shared" si="2"/>
        <v>9415.1785714285706</v>
      </c>
      <c r="S33" s="50">
        <f t="shared" si="1"/>
        <v>111</v>
      </c>
      <c r="T33" s="21">
        <v>98167</v>
      </c>
      <c r="U33" s="25">
        <v>83378.35714285713</v>
      </c>
      <c r="V33" s="1">
        <f t="shared" si="3"/>
        <v>108712</v>
      </c>
      <c r="W33" s="49">
        <f t="shared" si="4"/>
        <v>92793.535714285696</v>
      </c>
    </row>
    <row r="34" spans="1:23" s="37" customFormat="1" ht="17.399999999999999">
      <c r="A34" s="27">
        <v>30</v>
      </c>
      <c r="B34" s="28" t="s">
        <v>77</v>
      </c>
      <c r="C34" s="28" t="s">
        <v>78</v>
      </c>
      <c r="D34" s="29" t="s">
        <v>33</v>
      </c>
      <c r="E34" s="16">
        <v>5</v>
      </c>
      <c r="F34" s="30">
        <v>600</v>
      </c>
      <c r="G34" s="31">
        <v>49142</v>
      </c>
      <c r="H34" s="32"/>
      <c r="I34" s="57">
        <v>800</v>
      </c>
      <c r="J34" s="57">
        <v>8</v>
      </c>
      <c r="K34" s="57">
        <v>300</v>
      </c>
      <c r="L34" s="57">
        <v>3</v>
      </c>
      <c r="M34" s="57">
        <v>600</v>
      </c>
      <c r="N34" s="57">
        <v>6</v>
      </c>
      <c r="O34" s="57">
        <v>0</v>
      </c>
      <c r="P34" s="57">
        <v>0</v>
      </c>
      <c r="Q34" s="55">
        <f t="shared" si="0"/>
        <v>1700</v>
      </c>
      <c r="R34" s="56">
        <f t="shared" si="2"/>
        <v>1517.8571428571429</v>
      </c>
      <c r="S34" s="50">
        <f t="shared" si="1"/>
        <v>17</v>
      </c>
      <c r="T34" s="21">
        <v>71109</v>
      </c>
      <c r="U34" s="25">
        <v>62490.42857142858</v>
      </c>
      <c r="V34" s="1">
        <f t="shared" si="3"/>
        <v>72809</v>
      </c>
      <c r="W34" s="49">
        <f t="shared" si="4"/>
        <v>64008.285714285725</v>
      </c>
    </row>
    <row r="35" spans="1:23" ht="17.399999999999999">
      <c r="A35" s="15">
        <v>31</v>
      </c>
      <c r="B35" s="16" t="s">
        <v>79</v>
      </c>
      <c r="C35" s="16" t="s">
        <v>80</v>
      </c>
      <c r="D35" s="17" t="s">
        <v>67</v>
      </c>
      <c r="E35" s="16">
        <v>5</v>
      </c>
      <c r="F35" s="18"/>
      <c r="G35" s="19"/>
      <c r="H35" s="20"/>
      <c r="I35" s="55">
        <v>0</v>
      </c>
      <c r="J35" s="55">
        <v>0</v>
      </c>
      <c r="K35" s="55">
        <v>4800</v>
      </c>
      <c r="L35" s="55">
        <v>40</v>
      </c>
      <c r="M35" s="55">
        <v>6720</v>
      </c>
      <c r="N35" s="55">
        <v>56</v>
      </c>
      <c r="O35" s="55">
        <v>10350</v>
      </c>
      <c r="P35" s="55">
        <v>69</v>
      </c>
      <c r="Q35" s="55">
        <f t="shared" si="0"/>
        <v>21870</v>
      </c>
      <c r="R35" s="56">
        <f t="shared" si="2"/>
        <v>19526.785714285714</v>
      </c>
      <c r="S35" s="50">
        <f t="shared" si="1"/>
        <v>165</v>
      </c>
      <c r="T35" s="21">
        <v>0</v>
      </c>
      <c r="U35" s="25">
        <v>0</v>
      </c>
      <c r="V35" s="1">
        <f t="shared" si="3"/>
        <v>21870</v>
      </c>
      <c r="W35" s="49">
        <f t="shared" si="4"/>
        <v>19526.785714285714</v>
      </c>
    </row>
    <row r="36" spans="1:23" ht="15.6">
      <c r="A36" s="84" t="s">
        <v>81</v>
      </c>
      <c r="B36" s="85"/>
      <c r="C36" s="85"/>
      <c r="D36" s="85"/>
      <c r="E36" s="85"/>
      <c r="F36" s="86"/>
      <c r="G36" s="39"/>
      <c r="H36" s="40"/>
      <c r="I36" s="53">
        <f>SUM(I5:I35)</f>
        <v>79486</v>
      </c>
      <c r="J36" s="53">
        <f t="shared" ref="J36:S36" si="5">SUM(J5:J35)</f>
        <v>794</v>
      </c>
      <c r="K36" s="53">
        <f t="shared" si="5"/>
        <v>57029</v>
      </c>
      <c r="L36" s="53">
        <f t="shared" si="5"/>
        <v>562</v>
      </c>
      <c r="M36" s="53">
        <f t="shared" si="5"/>
        <v>55476</v>
      </c>
      <c r="N36" s="53">
        <f t="shared" si="5"/>
        <v>565</v>
      </c>
      <c r="O36" s="53">
        <f t="shared" si="5"/>
        <v>52997</v>
      </c>
      <c r="P36" s="53">
        <f t="shared" si="5"/>
        <v>511</v>
      </c>
      <c r="Q36" s="53">
        <f t="shared" si="5"/>
        <v>244988</v>
      </c>
      <c r="R36" s="54">
        <f t="shared" si="5"/>
        <v>218739.28571428571</v>
      </c>
      <c r="S36" s="41">
        <f t="shared" si="5"/>
        <v>2432</v>
      </c>
      <c r="T36" s="42">
        <f>SUM(T5:T35)</f>
        <v>4877608</v>
      </c>
      <c r="U36" s="42">
        <f>SUM(U5:U35)</f>
        <v>4237243.25</v>
      </c>
      <c r="V36" s="1"/>
    </row>
    <row r="37" spans="1:23" ht="15.6">
      <c r="A37" s="3"/>
      <c r="B37" s="3"/>
      <c r="C37" s="3"/>
      <c r="D37" s="3"/>
      <c r="E37" s="3"/>
      <c r="F37" s="3"/>
      <c r="G37" s="3"/>
      <c r="H37" s="3"/>
      <c r="I37" s="1"/>
      <c r="J37" s="1"/>
      <c r="K37" s="2"/>
      <c r="L37" s="2"/>
      <c r="M37" s="2"/>
      <c r="N37" s="2"/>
      <c r="O37" s="2"/>
      <c r="P37" s="2"/>
      <c r="Q37" s="1"/>
      <c r="R37" s="1"/>
      <c r="S37" s="1"/>
      <c r="T37" s="58"/>
      <c r="U37" s="59"/>
      <c r="V37" s="1"/>
    </row>
    <row r="38" spans="1:23" ht="15.6">
      <c r="A38" s="3"/>
      <c r="B38" s="3"/>
      <c r="C38" s="3"/>
      <c r="D38" s="3"/>
      <c r="E38" s="3"/>
      <c r="F38" s="3"/>
      <c r="G38" s="3"/>
      <c r="H38" s="3"/>
      <c r="I38" s="1"/>
      <c r="J38" s="1"/>
      <c r="K38" s="2"/>
      <c r="L38" s="2"/>
      <c r="M38" s="2"/>
      <c r="N38" s="2"/>
      <c r="O38" s="2"/>
      <c r="P38" s="2"/>
      <c r="Q38" s="1"/>
      <c r="R38" s="1"/>
      <c r="S38" s="1"/>
      <c r="T38" s="58"/>
      <c r="U38" s="59"/>
      <c r="V38" s="1"/>
    </row>
    <row r="39" spans="1:23">
      <c r="I39" s="78"/>
      <c r="J39" s="78"/>
    </row>
    <row r="40" spans="1:23">
      <c r="I40" s="78"/>
      <c r="J40" s="78"/>
    </row>
    <row r="41" spans="1:23">
      <c r="I41" s="78"/>
      <c r="J41" s="78"/>
    </row>
    <row r="42" spans="1:23">
      <c r="I42" s="78"/>
      <c r="J42" s="78"/>
    </row>
    <row r="43" spans="1:23">
      <c r="I43" s="78"/>
      <c r="J43" s="78"/>
    </row>
    <row r="44" spans="1:23">
      <c r="I44" s="78"/>
      <c r="J44" s="78"/>
    </row>
    <row r="45" spans="1:23">
      <c r="I45" s="78"/>
      <c r="J45" s="78"/>
    </row>
    <row r="46" spans="1:23">
      <c r="I46" s="78"/>
      <c r="J46" s="78"/>
    </row>
    <row r="47" spans="1:23">
      <c r="I47" s="78"/>
      <c r="J47" s="78"/>
    </row>
    <row r="48" spans="1:23">
      <c r="I48" s="78"/>
      <c r="J48" s="78"/>
    </row>
    <row r="49" spans="9:10">
      <c r="I49" s="78"/>
      <c r="J49" s="78"/>
    </row>
    <row r="50" spans="9:10">
      <c r="I50" s="78"/>
      <c r="J50" s="78"/>
    </row>
    <row r="51" spans="9:10">
      <c r="I51" s="78"/>
      <c r="J51" s="78"/>
    </row>
    <row r="52" spans="9:10">
      <c r="I52" s="78"/>
      <c r="J52" s="78"/>
    </row>
    <row r="53" spans="9:10">
      <c r="I53" s="78"/>
      <c r="J53" s="78"/>
    </row>
    <row r="54" spans="9:10">
      <c r="I54" s="78"/>
      <c r="J54" s="78"/>
    </row>
    <row r="55" spans="9:10">
      <c r="I55" s="78"/>
      <c r="J55" s="78"/>
    </row>
    <row r="56" spans="9:10">
      <c r="I56" s="78"/>
      <c r="J56" s="78"/>
    </row>
    <row r="57" spans="9:10">
      <c r="I57" s="78"/>
      <c r="J57" s="78"/>
    </row>
    <row r="58" spans="9:10">
      <c r="I58" s="78"/>
      <c r="J58" s="78"/>
    </row>
    <row r="59" spans="9:10">
      <c r="I59" s="78"/>
      <c r="J59" s="78"/>
    </row>
    <row r="60" spans="9:10">
      <c r="I60" s="78"/>
      <c r="J60" s="78"/>
    </row>
    <row r="61" spans="9:10">
      <c r="I61" s="78"/>
      <c r="J61" s="78"/>
    </row>
    <row r="62" spans="9:10">
      <c r="I62" s="78"/>
      <c r="J62" s="78"/>
    </row>
    <row r="63" spans="9:10">
      <c r="I63" s="78"/>
      <c r="J63" s="78"/>
    </row>
    <row r="64" spans="9:10">
      <c r="I64" s="78"/>
      <c r="J64" s="78"/>
    </row>
    <row r="65" spans="9:10">
      <c r="I65" s="78"/>
      <c r="J65" s="78"/>
    </row>
    <row r="66" spans="9:10">
      <c r="I66" s="78"/>
      <c r="J66" s="78"/>
    </row>
    <row r="67" spans="9:10">
      <c r="I67" s="78"/>
      <c r="J67" s="78"/>
    </row>
    <row r="68" spans="9:10">
      <c r="I68" s="78"/>
      <c r="J68" s="78"/>
    </row>
    <row r="69" spans="9:10">
      <c r="I69" s="78"/>
      <c r="J69" s="78"/>
    </row>
    <row r="70" spans="9:10">
      <c r="I70" s="78"/>
      <c r="J70" s="78"/>
    </row>
    <row r="71" spans="9:10">
      <c r="I71" s="78"/>
      <c r="J71" s="78"/>
    </row>
    <row r="72" spans="9:10">
      <c r="I72" s="78"/>
      <c r="J72" s="78"/>
    </row>
    <row r="73" spans="9:10">
      <c r="I73" s="78"/>
      <c r="J73" s="78"/>
    </row>
    <row r="74" spans="9:10">
      <c r="I74" s="78"/>
      <c r="J74" s="78"/>
    </row>
    <row r="75" spans="9:10">
      <c r="I75" s="78"/>
      <c r="J75" s="78"/>
    </row>
    <row r="76" spans="9:10">
      <c r="I76" s="78"/>
      <c r="J76" s="78"/>
    </row>
    <row r="77" spans="9:10">
      <c r="I77" s="78"/>
      <c r="J77" s="78"/>
    </row>
    <row r="78" spans="9:10">
      <c r="I78" s="78"/>
      <c r="J78" s="78"/>
    </row>
    <row r="79" spans="9:10">
      <c r="I79" s="78"/>
      <c r="J79" s="78"/>
    </row>
    <row r="80" spans="9:10">
      <c r="I80" s="78"/>
      <c r="J80" s="78"/>
    </row>
    <row r="81" spans="9:10">
      <c r="I81" s="78"/>
      <c r="J81" s="78"/>
    </row>
    <row r="82" spans="9:10">
      <c r="I82" s="78"/>
      <c r="J82" s="78"/>
    </row>
    <row r="83" spans="9:10">
      <c r="I83" s="78"/>
      <c r="J83" s="78"/>
    </row>
    <row r="84" spans="9:10">
      <c r="I84" s="78"/>
      <c r="J84" s="78"/>
    </row>
    <row r="85" spans="9:10">
      <c r="I85" s="78"/>
      <c r="J85" s="78"/>
    </row>
    <row r="86" spans="9:10">
      <c r="I86" s="78"/>
      <c r="J86" s="78"/>
    </row>
    <row r="87" spans="9:10">
      <c r="I87" s="78"/>
      <c r="J87" s="78"/>
    </row>
    <row r="88" spans="9:10">
      <c r="I88" s="78"/>
      <c r="J88" s="78"/>
    </row>
    <row r="89" spans="9:10">
      <c r="I89" s="78"/>
      <c r="J89" s="78"/>
    </row>
    <row r="90" spans="9:10">
      <c r="I90" s="78"/>
      <c r="J90" s="78"/>
    </row>
    <row r="91" spans="9:10">
      <c r="I91" s="78"/>
      <c r="J91" s="78"/>
    </row>
    <row r="92" spans="9:10">
      <c r="I92" s="78"/>
      <c r="J92" s="78"/>
    </row>
    <row r="93" spans="9:10">
      <c r="I93" s="78"/>
      <c r="J93" s="78"/>
    </row>
    <row r="94" spans="9:10">
      <c r="I94" s="78"/>
      <c r="J94" s="78"/>
    </row>
    <row r="95" spans="9:10">
      <c r="I95" s="78"/>
      <c r="J95" s="78"/>
    </row>
    <row r="96" spans="9:10">
      <c r="I96" s="78"/>
      <c r="J96" s="78"/>
    </row>
    <row r="97" spans="9:10">
      <c r="I97" s="78"/>
      <c r="J97" s="78"/>
    </row>
    <row r="98" spans="9:10">
      <c r="I98" s="78"/>
      <c r="J98" s="78"/>
    </row>
    <row r="99" spans="9:10">
      <c r="I99" s="78"/>
      <c r="J99" s="78"/>
    </row>
    <row r="100" spans="9:10">
      <c r="I100" s="78"/>
      <c r="J100" s="78"/>
    </row>
    <row r="101" spans="9:10">
      <c r="I101" s="78"/>
      <c r="J101" s="78"/>
    </row>
    <row r="102" spans="9:10">
      <c r="I102" s="78"/>
      <c r="J102" s="78"/>
    </row>
    <row r="103" spans="9:10">
      <c r="I103" s="78"/>
      <c r="J103" s="78"/>
    </row>
    <row r="104" spans="9:10">
      <c r="I104" s="78"/>
      <c r="J104" s="78"/>
    </row>
    <row r="105" spans="9:10">
      <c r="I105" s="78"/>
      <c r="J105" s="78"/>
    </row>
    <row r="106" spans="9:10">
      <c r="I106" s="78"/>
      <c r="J106" s="78"/>
    </row>
    <row r="107" spans="9:10">
      <c r="I107" s="78"/>
      <c r="J107" s="78"/>
    </row>
    <row r="108" spans="9:10">
      <c r="I108" s="78"/>
      <c r="J108" s="78"/>
    </row>
    <row r="109" spans="9:10">
      <c r="I109" s="78"/>
      <c r="J109" s="78"/>
    </row>
    <row r="110" spans="9:10">
      <c r="I110" s="78"/>
      <c r="J110" s="78"/>
    </row>
    <row r="111" spans="9:10">
      <c r="I111" s="78"/>
      <c r="J111" s="78"/>
    </row>
    <row r="112" spans="9:10">
      <c r="I112" s="78"/>
      <c r="J112" s="78"/>
    </row>
    <row r="113" spans="9:10">
      <c r="I113" s="78"/>
      <c r="J113" s="78"/>
    </row>
    <row r="114" spans="9:10">
      <c r="I114" s="78"/>
      <c r="J114" s="78"/>
    </row>
    <row r="115" spans="9:10">
      <c r="I115" s="78"/>
      <c r="J115" s="78"/>
    </row>
    <row r="116" spans="9:10">
      <c r="I116" s="78"/>
      <c r="J116" s="78"/>
    </row>
    <row r="117" spans="9:10">
      <c r="I117" s="78"/>
      <c r="J117" s="78"/>
    </row>
    <row r="118" spans="9:10">
      <c r="I118" s="78"/>
      <c r="J118" s="78"/>
    </row>
    <row r="119" spans="9:10">
      <c r="I119" s="78"/>
      <c r="J119" s="78"/>
    </row>
    <row r="120" spans="9:10">
      <c r="I120" s="78"/>
      <c r="J120" s="78"/>
    </row>
    <row r="121" spans="9:10">
      <c r="I121" s="78"/>
      <c r="J121" s="78"/>
    </row>
    <row r="122" spans="9:10">
      <c r="I122" s="78"/>
      <c r="J122" s="78"/>
    </row>
    <row r="123" spans="9:10">
      <c r="I123" s="78"/>
      <c r="J123" s="78"/>
    </row>
    <row r="124" spans="9:10">
      <c r="I124" s="78"/>
      <c r="J124" s="78"/>
    </row>
    <row r="125" spans="9:10">
      <c r="I125" s="78"/>
      <c r="J125" s="78"/>
    </row>
    <row r="126" spans="9:10">
      <c r="I126" s="78"/>
      <c r="J126" s="78"/>
    </row>
    <row r="127" spans="9:10">
      <c r="I127" s="78"/>
      <c r="J127" s="78"/>
    </row>
    <row r="128" spans="9:10">
      <c r="I128" s="78"/>
      <c r="J128" s="78"/>
    </row>
    <row r="129" spans="9:10">
      <c r="I129" s="78"/>
      <c r="J129" s="78"/>
    </row>
    <row r="130" spans="9:10">
      <c r="I130" s="78"/>
      <c r="J130" s="78"/>
    </row>
    <row r="131" spans="9:10">
      <c r="I131" s="78"/>
      <c r="J131" s="78"/>
    </row>
    <row r="132" spans="9:10">
      <c r="I132" s="78"/>
      <c r="J132" s="78"/>
    </row>
    <row r="133" spans="9:10">
      <c r="I133" s="78"/>
      <c r="J133" s="78"/>
    </row>
    <row r="134" spans="9:10">
      <c r="I134" s="78"/>
      <c r="J134" s="78"/>
    </row>
    <row r="135" spans="9:10">
      <c r="I135" s="78"/>
      <c r="J135" s="78"/>
    </row>
    <row r="136" spans="9:10">
      <c r="I136" s="78"/>
      <c r="J136" s="78"/>
    </row>
    <row r="137" spans="9:10">
      <c r="I137" s="78"/>
      <c r="J137" s="78"/>
    </row>
    <row r="138" spans="9:10">
      <c r="I138" s="78"/>
      <c r="J138" s="78"/>
    </row>
    <row r="139" spans="9:10">
      <c r="I139" s="78"/>
      <c r="J139" s="78"/>
    </row>
    <row r="140" spans="9:10">
      <c r="I140" s="78"/>
      <c r="J140" s="78"/>
    </row>
    <row r="141" spans="9:10">
      <c r="I141" s="78"/>
      <c r="J141" s="78"/>
    </row>
    <row r="142" spans="9:10">
      <c r="I142" s="78"/>
      <c r="J142" s="78"/>
    </row>
    <row r="143" spans="9:10">
      <c r="I143" s="78"/>
      <c r="J143" s="78"/>
    </row>
    <row r="144" spans="9:10">
      <c r="I144" s="78"/>
      <c r="J144" s="78"/>
    </row>
    <row r="145" spans="9:10">
      <c r="I145" s="78"/>
      <c r="J145" s="78"/>
    </row>
    <row r="146" spans="9:10">
      <c r="I146" s="78"/>
      <c r="J146" s="78"/>
    </row>
    <row r="147" spans="9:10">
      <c r="I147" s="78"/>
      <c r="J147" s="78"/>
    </row>
    <row r="148" spans="9:10">
      <c r="I148" s="78"/>
      <c r="J148" s="78"/>
    </row>
    <row r="149" spans="9:10">
      <c r="I149" s="78"/>
      <c r="J149" s="78"/>
    </row>
    <row r="150" spans="9:10">
      <c r="I150" s="78"/>
      <c r="J150" s="78"/>
    </row>
    <row r="151" spans="9:10">
      <c r="I151" s="78"/>
      <c r="J151" s="78"/>
    </row>
    <row r="152" spans="9:10">
      <c r="I152" s="78"/>
      <c r="J152" s="78"/>
    </row>
    <row r="153" spans="9:10">
      <c r="I153" s="78"/>
      <c r="J153" s="78"/>
    </row>
    <row r="154" spans="9:10">
      <c r="I154" s="78"/>
      <c r="J154" s="78"/>
    </row>
    <row r="155" spans="9:10">
      <c r="I155" s="78"/>
      <c r="J155" s="78"/>
    </row>
    <row r="156" spans="9:10">
      <c r="I156" s="78"/>
      <c r="J156" s="78"/>
    </row>
    <row r="157" spans="9:10">
      <c r="I157" s="78"/>
      <c r="J157" s="78"/>
    </row>
    <row r="158" spans="9:10">
      <c r="I158" s="78"/>
      <c r="J158" s="78"/>
    </row>
    <row r="159" spans="9:10">
      <c r="I159" s="78"/>
      <c r="J159" s="78"/>
    </row>
    <row r="160" spans="9:10">
      <c r="I160" s="78"/>
      <c r="J160" s="78"/>
    </row>
    <row r="161" spans="9:10">
      <c r="I161" s="78"/>
      <c r="J161" s="78"/>
    </row>
    <row r="162" spans="9:10">
      <c r="I162" s="78"/>
      <c r="J162" s="78"/>
    </row>
    <row r="163" spans="9:10">
      <c r="I163" s="78"/>
      <c r="J163" s="78"/>
    </row>
    <row r="164" spans="9:10">
      <c r="I164" s="78"/>
      <c r="J164" s="78"/>
    </row>
    <row r="165" spans="9:10">
      <c r="I165" s="78"/>
      <c r="J165" s="78"/>
    </row>
    <row r="166" spans="9:10">
      <c r="I166" s="78"/>
      <c r="J166" s="78"/>
    </row>
    <row r="167" spans="9:10">
      <c r="I167" s="78"/>
      <c r="J167" s="78"/>
    </row>
    <row r="168" spans="9:10">
      <c r="I168" s="78"/>
      <c r="J168" s="78"/>
    </row>
    <row r="169" spans="9:10">
      <c r="I169" s="78"/>
      <c r="J169" s="78"/>
    </row>
    <row r="170" spans="9:10">
      <c r="I170" s="78"/>
      <c r="J170" s="78"/>
    </row>
    <row r="171" spans="9:10">
      <c r="I171" s="78"/>
      <c r="J171" s="78"/>
    </row>
    <row r="172" spans="9:10">
      <c r="I172" s="78"/>
      <c r="J172" s="78"/>
    </row>
    <row r="173" spans="9:10">
      <c r="I173" s="78"/>
      <c r="J173" s="78"/>
    </row>
    <row r="174" spans="9:10">
      <c r="I174" s="78"/>
      <c r="J174" s="78"/>
    </row>
    <row r="175" spans="9:10">
      <c r="I175" s="78"/>
      <c r="J175" s="78"/>
    </row>
    <row r="176" spans="9:10">
      <c r="I176" s="78"/>
      <c r="J176" s="78"/>
    </row>
    <row r="177" spans="9:10">
      <c r="I177" s="78"/>
      <c r="J177" s="78"/>
    </row>
    <row r="178" spans="9:10">
      <c r="I178" s="78"/>
      <c r="J178" s="78"/>
    </row>
    <row r="179" spans="9:10">
      <c r="I179" s="78"/>
      <c r="J179" s="78"/>
    </row>
    <row r="180" spans="9:10">
      <c r="I180" s="78"/>
      <c r="J180" s="78"/>
    </row>
    <row r="181" spans="9:10">
      <c r="I181" s="78"/>
      <c r="J181" s="78"/>
    </row>
    <row r="182" spans="9:10">
      <c r="I182" s="78"/>
      <c r="J182" s="78"/>
    </row>
    <row r="183" spans="9:10">
      <c r="I183" s="78"/>
      <c r="J183" s="78"/>
    </row>
    <row r="184" spans="9:10">
      <c r="I184" s="78"/>
      <c r="J184" s="78"/>
    </row>
    <row r="185" spans="9:10">
      <c r="I185" s="78"/>
      <c r="J185" s="78"/>
    </row>
    <row r="186" spans="9:10">
      <c r="I186" s="78"/>
      <c r="J186" s="78"/>
    </row>
    <row r="187" spans="9:10">
      <c r="I187" s="78"/>
      <c r="J187" s="78"/>
    </row>
    <row r="188" spans="9:10">
      <c r="I188" s="78"/>
      <c r="J188" s="78"/>
    </row>
    <row r="189" spans="9:10">
      <c r="I189" s="78"/>
      <c r="J189" s="78"/>
    </row>
    <row r="190" spans="9:10">
      <c r="I190" s="78"/>
      <c r="J190" s="78"/>
    </row>
    <row r="191" spans="9:10">
      <c r="I191" s="78"/>
      <c r="J191" s="78"/>
    </row>
    <row r="192" spans="9:10">
      <c r="I192" s="78"/>
      <c r="J192" s="78"/>
    </row>
    <row r="193" spans="9:10">
      <c r="I193" s="78"/>
      <c r="J193" s="78"/>
    </row>
    <row r="194" spans="9:10">
      <c r="I194" s="78"/>
      <c r="J194" s="78"/>
    </row>
    <row r="195" spans="9:10">
      <c r="I195" s="78"/>
      <c r="J195" s="78"/>
    </row>
    <row r="196" spans="9:10">
      <c r="I196" s="78"/>
      <c r="J196" s="78"/>
    </row>
    <row r="197" spans="9:10">
      <c r="I197" s="78"/>
      <c r="J197" s="78"/>
    </row>
    <row r="198" spans="9:10">
      <c r="I198" s="78"/>
      <c r="J198" s="78"/>
    </row>
    <row r="199" spans="9:10">
      <c r="I199" s="78"/>
      <c r="J199" s="78"/>
    </row>
    <row r="200" spans="9:10">
      <c r="I200" s="78"/>
      <c r="J200" s="78"/>
    </row>
    <row r="201" spans="9:10">
      <c r="I201" s="78"/>
      <c r="J201" s="78"/>
    </row>
    <row r="202" spans="9:10">
      <c r="I202" s="78"/>
      <c r="J202" s="78"/>
    </row>
    <row r="203" spans="9:10">
      <c r="I203" s="78"/>
      <c r="J203" s="78"/>
    </row>
    <row r="204" spans="9:10">
      <c r="I204" s="78"/>
      <c r="J204" s="78"/>
    </row>
    <row r="205" spans="9:10">
      <c r="I205" s="78"/>
      <c r="J205" s="78"/>
    </row>
    <row r="206" spans="9:10">
      <c r="I206" s="78"/>
      <c r="J206" s="78"/>
    </row>
    <row r="207" spans="9:10">
      <c r="I207" s="78"/>
      <c r="J207" s="78"/>
    </row>
    <row r="208" spans="9:10">
      <c r="I208" s="78"/>
      <c r="J208" s="78"/>
    </row>
    <row r="209" spans="9:10">
      <c r="I209" s="78"/>
      <c r="J209" s="78"/>
    </row>
    <row r="210" spans="9:10">
      <c r="I210" s="78"/>
      <c r="J210" s="78"/>
    </row>
    <row r="211" spans="9:10">
      <c r="I211" s="78"/>
      <c r="J211" s="78"/>
    </row>
    <row r="212" spans="9:10">
      <c r="I212" s="78"/>
      <c r="J212" s="78"/>
    </row>
    <row r="213" spans="9:10">
      <c r="I213" s="78"/>
      <c r="J213" s="78"/>
    </row>
    <row r="214" spans="9:10">
      <c r="I214" s="78"/>
      <c r="J214" s="78"/>
    </row>
    <row r="215" spans="9:10">
      <c r="I215" s="78"/>
      <c r="J215" s="78"/>
    </row>
    <row r="216" spans="9:10">
      <c r="I216" s="78"/>
      <c r="J216" s="78"/>
    </row>
    <row r="217" spans="9:10">
      <c r="I217" s="78"/>
      <c r="J217" s="78"/>
    </row>
    <row r="218" spans="9:10">
      <c r="I218" s="78"/>
      <c r="J218" s="78"/>
    </row>
    <row r="219" spans="9:10">
      <c r="I219" s="78"/>
      <c r="J219" s="78"/>
    </row>
    <row r="220" spans="9:10">
      <c r="I220" s="78"/>
      <c r="J220" s="78"/>
    </row>
    <row r="221" spans="9:10">
      <c r="I221" s="78"/>
      <c r="J221" s="78"/>
    </row>
    <row r="222" spans="9:10">
      <c r="I222" s="78"/>
      <c r="J222" s="78"/>
    </row>
    <row r="223" spans="9:10">
      <c r="I223" s="78"/>
      <c r="J223" s="78"/>
    </row>
    <row r="224" spans="9:10">
      <c r="I224" s="78"/>
      <c r="J224" s="78"/>
    </row>
    <row r="225" spans="9:10">
      <c r="I225" s="78"/>
      <c r="J225" s="78"/>
    </row>
    <row r="226" spans="9:10">
      <c r="I226" s="78"/>
      <c r="J226" s="78"/>
    </row>
    <row r="227" spans="9:10">
      <c r="I227" s="78"/>
      <c r="J227" s="78"/>
    </row>
    <row r="228" spans="9:10">
      <c r="I228" s="78"/>
      <c r="J228" s="78"/>
    </row>
    <row r="229" spans="9:10">
      <c r="I229" s="78"/>
      <c r="J229" s="78"/>
    </row>
    <row r="230" spans="9:10">
      <c r="I230" s="78"/>
      <c r="J230" s="78"/>
    </row>
    <row r="231" spans="9:10">
      <c r="I231" s="78"/>
      <c r="J231" s="78"/>
    </row>
    <row r="232" spans="9:10">
      <c r="I232" s="78"/>
      <c r="J232" s="78"/>
    </row>
    <row r="233" spans="9:10">
      <c r="I233" s="78"/>
      <c r="J233" s="78"/>
    </row>
    <row r="234" spans="9:10">
      <c r="I234" s="78"/>
      <c r="J234" s="78"/>
    </row>
    <row r="235" spans="9:10">
      <c r="I235" s="78"/>
      <c r="J235" s="78"/>
    </row>
    <row r="236" spans="9:10">
      <c r="I236" s="78"/>
      <c r="J236" s="78"/>
    </row>
    <row r="237" spans="9:10">
      <c r="I237" s="78"/>
      <c r="J237" s="78"/>
    </row>
    <row r="238" spans="9:10">
      <c r="I238" s="78"/>
      <c r="J238" s="78"/>
    </row>
    <row r="239" spans="9:10">
      <c r="I239" s="78"/>
      <c r="J239" s="78"/>
    </row>
    <row r="240" spans="9:10">
      <c r="I240" s="78"/>
      <c r="J240" s="78"/>
    </row>
    <row r="241" spans="9:10">
      <c r="I241" s="78"/>
      <c r="J241" s="78"/>
    </row>
    <row r="242" spans="9:10">
      <c r="I242" s="78"/>
      <c r="J242" s="78"/>
    </row>
    <row r="243" spans="9:10">
      <c r="I243" s="78"/>
      <c r="J243" s="78"/>
    </row>
    <row r="244" spans="9:10">
      <c r="I244" s="78"/>
      <c r="J244" s="78"/>
    </row>
    <row r="245" spans="9:10">
      <c r="I245" s="78"/>
      <c r="J245" s="78"/>
    </row>
    <row r="246" spans="9:10">
      <c r="I246" s="78"/>
      <c r="J246" s="78"/>
    </row>
    <row r="247" spans="9:10">
      <c r="I247" s="78"/>
      <c r="J247" s="78"/>
    </row>
    <row r="248" spans="9:10">
      <c r="I248" s="78"/>
      <c r="J248" s="78"/>
    </row>
    <row r="249" spans="9:10">
      <c r="I249" s="78"/>
      <c r="J249" s="78"/>
    </row>
    <row r="250" spans="9:10">
      <c r="I250" s="78"/>
      <c r="J250" s="78"/>
    </row>
    <row r="251" spans="9:10">
      <c r="I251" s="78"/>
      <c r="J251" s="78"/>
    </row>
    <row r="252" spans="9:10">
      <c r="I252" s="78"/>
      <c r="J252" s="78"/>
    </row>
    <row r="253" spans="9:10">
      <c r="I253" s="78"/>
      <c r="J253" s="78"/>
    </row>
    <row r="254" spans="9:10">
      <c r="I254" s="78"/>
      <c r="J254" s="78"/>
    </row>
    <row r="255" spans="9:10">
      <c r="I255" s="78"/>
      <c r="J255" s="78"/>
    </row>
    <row r="256" spans="9:10">
      <c r="I256" s="78"/>
      <c r="J256" s="78"/>
    </row>
    <row r="257" spans="9:10">
      <c r="I257" s="78"/>
      <c r="J257" s="78"/>
    </row>
    <row r="258" spans="9:10">
      <c r="I258" s="78"/>
      <c r="J258" s="78"/>
    </row>
    <row r="259" spans="9:10">
      <c r="I259" s="78"/>
      <c r="J259" s="78"/>
    </row>
    <row r="260" spans="9:10">
      <c r="I260" s="78"/>
      <c r="J260" s="78"/>
    </row>
    <row r="261" spans="9:10">
      <c r="I261" s="78"/>
      <c r="J261" s="78"/>
    </row>
    <row r="262" spans="9:10">
      <c r="I262" s="78"/>
      <c r="J262" s="78"/>
    </row>
    <row r="263" spans="9:10">
      <c r="I263" s="78"/>
      <c r="J263" s="78"/>
    </row>
    <row r="264" spans="9:10">
      <c r="I264" s="78"/>
      <c r="J264" s="78"/>
    </row>
    <row r="265" spans="9:10">
      <c r="I265" s="78"/>
      <c r="J265" s="78"/>
    </row>
    <row r="266" spans="9:10">
      <c r="I266" s="78"/>
      <c r="J266" s="78"/>
    </row>
    <row r="267" spans="9:10">
      <c r="I267" s="78"/>
      <c r="J267" s="78"/>
    </row>
    <row r="268" spans="9:10">
      <c r="I268" s="78"/>
      <c r="J268" s="78"/>
    </row>
    <row r="269" spans="9:10">
      <c r="I269" s="78"/>
      <c r="J269" s="78"/>
    </row>
    <row r="270" spans="9:10">
      <c r="I270" s="78"/>
      <c r="J270" s="78"/>
    </row>
    <row r="271" spans="9:10">
      <c r="I271" s="78"/>
      <c r="J271" s="78"/>
    </row>
    <row r="272" spans="9:10">
      <c r="I272" s="78"/>
      <c r="J272" s="78"/>
    </row>
    <row r="273" spans="9:10">
      <c r="I273" s="78"/>
      <c r="J273" s="78"/>
    </row>
    <row r="274" spans="9:10">
      <c r="I274" s="78"/>
      <c r="J274" s="78"/>
    </row>
    <row r="275" spans="9:10">
      <c r="I275" s="78"/>
      <c r="J275" s="78"/>
    </row>
    <row r="276" spans="9:10">
      <c r="I276" s="78"/>
      <c r="J276" s="78"/>
    </row>
    <row r="277" spans="9:10">
      <c r="I277" s="78"/>
      <c r="J277" s="78"/>
    </row>
    <row r="278" spans="9:10">
      <c r="I278" s="78"/>
      <c r="J278" s="78"/>
    </row>
    <row r="279" spans="9:10">
      <c r="I279" s="78"/>
      <c r="J279" s="78"/>
    </row>
    <row r="280" spans="9:10">
      <c r="I280" s="78"/>
      <c r="J280" s="78"/>
    </row>
    <row r="281" spans="9:10">
      <c r="I281" s="78"/>
      <c r="J281" s="78"/>
    </row>
    <row r="282" spans="9:10">
      <c r="I282" s="78"/>
      <c r="J282" s="78"/>
    </row>
    <row r="283" spans="9:10">
      <c r="I283" s="78"/>
      <c r="J283" s="78"/>
    </row>
    <row r="284" spans="9:10">
      <c r="I284" s="78"/>
      <c r="J284" s="78"/>
    </row>
    <row r="285" spans="9:10">
      <c r="I285" s="78"/>
      <c r="J285" s="78"/>
    </row>
    <row r="286" spans="9:10">
      <c r="I286" s="78"/>
      <c r="J286" s="78"/>
    </row>
    <row r="287" spans="9:10">
      <c r="I287" s="78"/>
      <c r="J287" s="78"/>
    </row>
    <row r="288" spans="9:10">
      <c r="I288" s="78"/>
      <c r="J288" s="78"/>
    </row>
    <row r="289" spans="9:10">
      <c r="I289" s="78"/>
      <c r="J289" s="78"/>
    </row>
    <row r="290" spans="9:10">
      <c r="I290" s="78"/>
      <c r="J290" s="78"/>
    </row>
    <row r="291" spans="9:10">
      <c r="I291" s="78"/>
      <c r="J291" s="78"/>
    </row>
    <row r="292" spans="9:10">
      <c r="I292" s="78"/>
      <c r="J292" s="78"/>
    </row>
    <row r="293" spans="9:10">
      <c r="I293" s="78"/>
      <c r="J293" s="78"/>
    </row>
    <row r="294" spans="9:10">
      <c r="I294" s="78"/>
      <c r="J294" s="78"/>
    </row>
    <row r="295" spans="9:10">
      <c r="I295" s="78"/>
      <c r="J295" s="78"/>
    </row>
    <row r="296" spans="9:10">
      <c r="I296" s="78"/>
      <c r="J296" s="78"/>
    </row>
    <row r="297" spans="9:10">
      <c r="I297" s="78"/>
      <c r="J297" s="78"/>
    </row>
    <row r="298" spans="9:10">
      <c r="I298" s="78"/>
      <c r="J298" s="78"/>
    </row>
    <row r="299" spans="9:10">
      <c r="I299" s="78"/>
      <c r="J299" s="78"/>
    </row>
    <row r="300" spans="9:10">
      <c r="I300" s="78"/>
      <c r="J300" s="78"/>
    </row>
    <row r="301" spans="9:10">
      <c r="I301" s="78"/>
      <c r="J301" s="78"/>
    </row>
    <row r="302" spans="9:10">
      <c r="I302" s="78"/>
      <c r="J302" s="78"/>
    </row>
    <row r="303" spans="9:10">
      <c r="I303" s="78"/>
      <c r="J303" s="78"/>
    </row>
    <row r="304" spans="9:10">
      <c r="I304" s="78"/>
      <c r="J304" s="78"/>
    </row>
    <row r="305" spans="9:10">
      <c r="I305" s="78"/>
      <c r="J305" s="78"/>
    </row>
    <row r="306" spans="9:10">
      <c r="I306" s="78"/>
      <c r="J306" s="78"/>
    </row>
    <row r="307" spans="9:10">
      <c r="I307" s="78"/>
      <c r="J307" s="78"/>
    </row>
    <row r="308" spans="9:10">
      <c r="I308" s="78"/>
      <c r="J308" s="78"/>
    </row>
    <row r="309" spans="9:10">
      <c r="I309" s="78"/>
      <c r="J309" s="78"/>
    </row>
    <row r="310" spans="9:10">
      <c r="I310" s="78"/>
      <c r="J310" s="78"/>
    </row>
    <row r="311" spans="9:10">
      <c r="I311" s="78"/>
      <c r="J311" s="78"/>
    </row>
    <row r="312" spans="9:10">
      <c r="I312" s="78"/>
      <c r="J312" s="78"/>
    </row>
    <row r="313" spans="9:10">
      <c r="I313" s="78"/>
      <c r="J313" s="78"/>
    </row>
    <row r="314" spans="9:10">
      <c r="I314" s="78"/>
      <c r="J314" s="78"/>
    </row>
    <row r="315" spans="9:10">
      <c r="I315" s="78"/>
      <c r="J315" s="78"/>
    </row>
    <row r="316" spans="9:10">
      <c r="I316" s="78"/>
      <c r="J316" s="78"/>
    </row>
    <row r="317" spans="9:10">
      <c r="I317" s="78"/>
      <c r="J317" s="78"/>
    </row>
    <row r="318" spans="9:10">
      <c r="I318" s="78"/>
      <c r="J318" s="78"/>
    </row>
    <row r="319" spans="9:10">
      <c r="I319" s="78"/>
      <c r="J319" s="78"/>
    </row>
    <row r="320" spans="9:10">
      <c r="I320" s="78"/>
      <c r="J320" s="78"/>
    </row>
    <row r="321" spans="9:10">
      <c r="I321" s="78"/>
      <c r="J321" s="78"/>
    </row>
    <row r="322" spans="9:10">
      <c r="I322" s="78"/>
      <c r="J322" s="78"/>
    </row>
    <row r="323" spans="9:10">
      <c r="I323" s="78"/>
      <c r="J323" s="78"/>
    </row>
    <row r="324" spans="9:10">
      <c r="I324" s="78"/>
      <c r="J324" s="78"/>
    </row>
    <row r="325" spans="9:10">
      <c r="I325" s="78"/>
      <c r="J325" s="78"/>
    </row>
    <row r="326" spans="9:10">
      <c r="I326" s="78"/>
      <c r="J326" s="78"/>
    </row>
    <row r="327" spans="9:10">
      <c r="I327" s="78"/>
      <c r="J327" s="78"/>
    </row>
    <row r="328" spans="9:10">
      <c r="I328" s="78"/>
      <c r="J328" s="78"/>
    </row>
    <row r="329" spans="9:10">
      <c r="I329" s="78"/>
      <c r="J329" s="78"/>
    </row>
    <row r="330" spans="9:10">
      <c r="I330" s="78"/>
      <c r="J330" s="78"/>
    </row>
    <row r="331" spans="9:10">
      <c r="I331" s="78"/>
      <c r="J331" s="78"/>
    </row>
    <row r="332" spans="9:10">
      <c r="I332" s="78"/>
      <c r="J332" s="78"/>
    </row>
    <row r="333" spans="9:10">
      <c r="I333" s="78"/>
      <c r="J333" s="78"/>
    </row>
    <row r="334" spans="9:10">
      <c r="I334" s="78"/>
      <c r="J334" s="78"/>
    </row>
    <row r="335" spans="9:10">
      <c r="I335" s="78"/>
      <c r="J335" s="78"/>
    </row>
    <row r="336" spans="9:10">
      <c r="I336" s="78"/>
      <c r="J336" s="78"/>
    </row>
    <row r="337" spans="9:10">
      <c r="I337" s="78"/>
      <c r="J337" s="78"/>
    </row>
    <row r="338" spans="9:10">
      <c r="I338" s="78"/>
      <c r="J338" s="78"/>
    </row>
    <row r="339" spans="9:10">
      <c r="I339" s="78"/>
      <c r="J339" s="78"/>
    </row>
    <row r="340" spans="9:10">
      <c r="I340" s="78"/>
      <c r="J340" s="78"/>
    </row>
    <row r="341" spans="9:10">
      <c r="I341" s="78"/>
      <c r="J341" s="78"/>
    </row>
    <row r="342" spans="9:10">
      <c r="I342" s="78"/>
      <c r="J342" s="78"/>
    </row>
    <row r="343" spans="9:10">
      <c r="I343" s="78"/>
      <c r="J343" s="78"/>
    </row>
    <row r="344" spans="9:10">
      <c r="I344" s="78"/>
      <c r="J344" s="78"/>
    </row>
    <row r="345" spans="9:10">
      <c r="I345" s="78"/>
      <c r="J345" s="78"/>
    </row>
    <row r="346" spans="9:10">
      <c r="I346" s="78"/>
      <c r="J346" s="78"/>
    </row>
    <row r="347" spans="9:10">
      <c r="I347" s="78"/>
      <c r="J347" s="78"/>
    </row>
    <row r="348" spans="9:10">
      <c r="I348" s="78"/>
      <c r="J348" s="78"/>
    </row>
    <row r="349" spans="9:10">
      <c r="I349" s="78"/>
      <c r="J349" s="78"/>
    </row>
    <row r="350" spans="9:10">
      <c r="I350" s="78"/>
      <c r="J350" s="78"/>
    </row>
    <row r="351" spans="9:10">
      <c r="I351" s="78"/>
      <c r="J351" s="78"/>
    </row>
    <row r="352" spans="9:10">
      <c r="I352" s="78"/>
      <c r="J352" s="78"/>
    </row>
    <row r="353" spans="9:10">
      <c r="I353" s="78"/>
      <c r="J353" s="78"/>
    </row>
    <row r="354" spans="9:10">
      <c r="I354" s="78"/>
      <c r="J354" s="78"/>
    </row>
    <row r="355" spans="9:10">
      <c r="I355" s="78"/>
      <c r="J355" s="78"/>
    </row>
    <row r="356" spans="9:10">
      <c r="I356" s="78"/>
      <c r="J356" s="78"/>
    </row>
    <row r="357" spans="9:10">
      <c r="I357" s="78"/>
      <c r="J357" s="78"/>
    </row>
    <row r="358" spans="9:10">
      <c r="I358" s="78"/>
      <c r="J358" s="78"/>
    </row>
    <row r="359" spans="9:10">
      <c r="I359" s="78"/>
      <c r="J359" s="78"/>
    </row>
    <row r="360" spans="9:10">
      <c r="I360" s="78"/>
      <c r="J360" s="78"/>
    </row>
    <row r="361" spans="9:10">
      <c r="I361" s="78"/>
      <c r="J361" s="78"/>
    </row>
    <row r="362" spans="9:10">
      <c r="I362" s="78"/>
      <c r="J362" s="78"/>
    </row>
    <row r="363" spans="9:10">
      <c r="I363" s="78"/>
      <c r="J363" s="78"/>
    </row>
    <row r="364" spans="9:10">
      <c r="I364" s="78"/>
      <c r="J364" s="78"/>
    </row>
    <row r="365" spans="9:10">
      <c r="I365" s="78"/>
      <c r="J365" s="78"/>
    </row>
    <row r="366" spans="9:10">
      <c r="I366" s="78"/>
      <c r="J366" s="78"/>
    </row>
    <row r="367" spans="9:10">
      <c r="I367" s="78"/>
      <c r="J367" s="78"/>
    </row>
    <row r="368" spans="9:10">
      <c r="I368" s="78"/>
      <c r="J368" s="78"/>
    </row>
    <row r="369" spans="9:10">
      <c r="I369" s="78"/>
      <c r="J369" s="78"/>
    </row>
    <row r="370" spans="9:10">
      <c r="I370" s="78"/>
      <c r="J370" s="78"/>
    </row>
    <row r="371" spans="9:10">
      <c r="I371" s="78"/>
      <c r="J371" s="78"/>
    </row>
    <row r="372" spans="9:10">
      <c r="I372" s="78"/>
      <c r="J372" s="78"/>
    </row>
    <row r="373" spans="9:10">
      <c r="I373" s="78"/>
      <c r="J373" s="78"/>
    </row>
    <row r="374" spans="9:10">
      <c r="I374" s="78"/>
      <c r="J374" s="78"/>
    </row>
    <row r="375" spans="9:10">
      <c r="I375" s="78"/>
      <c r="J375" s="78"/>
    </row>
    <row r="376" spans="9:10">
      <c r="I376" s="78"/>
      <c r="J376" s="78"/>
    </row>
    <row r="377" spans="9:10">
      <c r="I377" s="78"/>
      <c r="J377" s="78"/>
    </row>
    <row r="378" spans="9:10">
      <c r="I378" s="78"/>
      <c r="J378" s="78"/>
    </row>
    <row r="379" spans="9:10">
      <c r="I379" s="78"/>
      <c r="J379" s="78"/>
    </row>
    <row r="380" spans="9:10">
      <c r="I380" s="78"/>
      <c r="J380" s="78"/>
    </row>
    <row r="381" spans="9:10">
      <c r="I381" s="78"/>
      <c r="J381" s="78"/>
    </row>
    <row r="382" spans="9:10">
      <c r="I382" s="78"/>
      <c r="J382" s="78"/>
    </row>
    <row r="383" spans="9:10">
      <c r="I383" s="78"/>
      <c r="J383" s="78"/>
    </row>
    <row r="384" spans="9:10">
      <c r="I384" s="78"/>
      <c r="J384" s="78"/>
    </row>
    <row r="385" spans="9:10">
      <c r="I385" s="78"/>
      <c r="J385" s="78"/>
    </row>
    <row r="386" spans="9:10">
      <c r="I386" s="78"/>
      <c r="J386" s="78"/>
    </row>
    <row r="387" spans="9:10">
      <c r="I387" s="78"/>
      <c r="J387" s="78"/>
    </row>
    <row r="388" spans="9:10">
      <c r="I388" s="78"/>
      <c r="J388" s="78"/>
    </row>
    <row r="389" spans="9:10">
      <c r="I389" s="78"/>
      <c r="J389" s="78"/>
    </row>
    <row r="390" spans="9:10">
      <c r="I390" s="78"/>
      <c r="J390" s="78"/>
    </row>
    <row r="391" spans="9:10">
      <c r="I391" s="78"/>
      <c r="J391" s="78"/>
    </row>
    <row r="392" spans="9:10">
      <c r="I392" s="78"/>
      <c r="J392" s="78"/>
    </row>
    <row r="393" spans="9:10">
      <c r="I393" s="78"/>
      <c r="J393" s="78"/>
    </row>
    <row r="394" spans="9:10">
      <c r="I394" s="78"/>
      <c r="J394" s="78"/>
    </row>
    <row r="395" spans="9:10">
      <c r="I395" s="78"/>
      <c r="J395" s="78"/>
    </row>
    <row r="396" spans="9:10">
      <c r="I396" s="78"/>
      <c r="J396" s="78"/>
    </row>
    <row r="397" spans="9:10">
      <c r="I397" s="78"/>
      <c r="J397" s="78"/>
    </row>
    <row r="398" spans="9:10">
      <c r="I398" s="78"/>
      <c r="J398" s="78"/>
    </row>
    <row r="399" spans="9:10">
      <c r="I399" s="78"/>
      <c r="J399" s="78"/>
    </row>
    <row r="400" spans="9:10">
      <c r="I400" s="78"/>
      <c r="J400" s="78"/>
    </row>
    <row r="401" spans="9:10">
      <c r="I401" s="78"/>
      <c r="J401" s="78"/>
    </row>
    <row r="402" spans="9:10">
      <c r="I402" s="78"/>
      <c r="J402" s="78"/>
    </row>
    <row r="403" spans="9:10">
      <c r="I403" s="78"/>
      <c r="J403" s="78"/>
    </row>
    <row r="404" spans="9:10">
      <c r="I404" s="78"/>
      <c r="J404" s="78"/>
    </row>
    <row r="405" spans="9:10">
      <c r="I405" s="78"/>
      <c r="J405" s="78"/>
    </row>
    <row r="406" spans="9:10">
      <c r="I406" s="78"/>
      <c r="J406" s="78"/>
    </row>
    <row r="407" spans="9:10">
      <c r="I407" s="78"/>
      <c r="J407" s="78"/>
    </row>
    <row r="408" spans="9:10">
      <c r="I408" s="78"/>
      <c r="J408" s="78"/>
    </row>
    <row r="409" spans="9:10">
      <c r="I409" s="78"/>
      <c r="J409" s="78"/>
    </row>
    <row r="410" spans="9:10">
      <c r="I410" s="78"/>
      <c r="J410" s="78"/>
    </row>
    <row r="411" spans="9:10">
      <c r="I411" s="78"/>
      <c r="J411" s="78"/>
    </row>
    <row r="412" spans="9:10">
      <c r="I412" s="78"/>
      <c r="J412" s="78"/>
    </row>
    <row r="413" spans="9:10">
      <c r="I413" s="78"/>
      <c r="J413" s="78"/>
    </row>
    <row r="414" spans="9:10">
      <c r="I414" s="78"/>
      <c r="J414" s="78"/>
    </row>
    <row r="415" spans="9:10">
      <c r="I415" s="78"/>
      <c r="J415" s="78"/>
    </row>
    <row r="416" spans="9:10">
      <c r="I416" s="78"/>
      <c r="J416" s="78"/>
    </row>
    <row r="417" spans="9:10">
      <c r="I417" s="78"/>
      <c r="J417" s="78"/>
    </row>
    <row r="418" spans="9:10">
      <c r="I418" s="78"/>
      <c r="J418" s="78"/>
    </row>
    <row r="419" spans="9:10">
      <c r="I419" s="78"/>
      <c r="J419" s="78"/>
    </row>
    <row r="420" spans="9:10">
      <c r="I420" s="78"/>
      <c r="J420" s="78"/>
    </row>
    <row r="421" spans="9:10">
      <c r="I421" s="78"/>
      <c r="J421" s="78"/>
    </row>
    <row r="422" spans="9:10">
      <c r="I422" s="78"/>
      <c r="J422" s="78"/>
    </row>
    <row r="423" spans="9:10">
      <c r="I423" s="78"/>
      <c r="J423" s="78"/>
    </row>
    <row r="424" spans="9:10">
      <c r="I424" s="78"/>
      <c r="J424" s="78"/>
    </row>
    <row r="425" spans="9:10">
      <c r="I425" s="78"/>
      <c r="J425" s="78"/>
    </row>
    <row r="426" spans="9:10">
      <c r="I426" s="78"/>
      <c r="J426" s="78"/>
    </row>
    <row r="427" spans="9:10">
      <c r="I427" s="78"/>
      <c r="J427" s="78"/>
    </row>
    <row r="428" spans="9:10">
      <c r="I428" s="78"/>
      <c r="J428" s="78"/>
    </row>
    <row r="429" spans="9:10">
      <c r="I429" s="78"/>
      <c r="J429" s="78"/>
    </row>
    <row r="430" spans="9:10">
      <c r="I430" s="78"/>
      <c r="J430" s="78"/>
    </row>
    <row r="431" spans="9:10">
      <c r="I431" s="78"/>
      <c r="J431" s="78"/>
    </row>
    <row r="432" spans="9:10">
      <c r="I432" s="78"/>
      <c r="J432" s="78"/>
    </row>
    <row r="433" spans="9:10">
      <c r="I433" s="78"/>
      <c r="J433" s="78"/>
    </row>
    <row r="434" spans="9:10">
      <c r="I434" s="78"/>
      <c r="J434" s="78"/>
    </row>
    <row r="435" spans="9:10">
      <c r="I435" s="78"/>
      <c r="J435" s="78"/>
    </row>
    <row r="436" spans="9:10">
      <c r="I436" s="78"/>
      <c r="J436" s="78"/>
    </row>
    <row r="437" spans="9:10">
      <c r="I437" s="78"/>
      <c r="J437" s="78"/>
    </row>
    <row r="438" spans="9:10">
      <c r="I438" s="78"/>
      <c r="J438" s="78"/>
    </row>
    <row r="439" spans="9:10">
      <c r="I439" s="78"/>
      <c r="J439" s="78"/>
    </row>
    <row r="440" spans="9:10">
      <c r="I440" s="78"/>
      <c r="J440" s="78"/>
    </row>
    <row r="441" spans="9:10">
      <c r="I441" s="78"/>
      <c r="J441" s="78"/>
    </row>
    <row r="442" spans="9:10">
      <c r="I442" s="78"/>
      <c r="J442" s="78"/>
    </row>
    <row r="443" spans="9:10">
      <c r="I443" s="78"/>
      <c r="J443" s="78"/>
    </row>
    <row r="444" spans="9:10">
      <c r="I444" s="78"/>
      <c r="J444" s="78"/>
    </row>
    <row r="445" spans="9:10">
      <c r="I445" s="78"/>
      <c r="J445" s="78"/>
    </row>
    <row r="446" spans="9:10">
      <c r="I446" s="78"/>
      <c r="J446" s="78"/>
    </row>
    <row r="447" spans="9:10">
      <c r="I447" s="78"/>
      <c r="J447" s="78"/>
    </row>
    <row r="448" spans="9:10">
      <c r="I448" s="78"/>
      <c r="J448" s="78"/>
    </row>
    <row r="449" spans="9:10">
      <c r="I449" s="78"/>
      <c r="J449" s="78"/>
    </row>
    <row r="450" spans="9:10">
      <c r="I450" s="78"/>
      <c r="J450" s="78"/>
    </row>
    <row r="451" spans="9:10">
      <c r="I451" s="78"/>
      <c r="J451" s="78"/>
    </row>
    <row r="452" spans="9:10">
      <c r="I452" s="78"/>
      <c r="J452" s="78"/>
    </row>
    <row r="453" spans="9:10">
      <c r="I453" s="78"/>
      <c r="J453" s="78"/>
    </row>
    <row r="454" spans="9:10">
      <c r="I454" s="78"/>
      <c r="J454" s="78"/>
    </row>
    <row r="455" spans="9:10">
      <c r="I455" s="78"/>
      <c r="J455" s="78"/>
    </row>
    <row r="456" spans="9:10">
      <c r="I456" s="78"/>
      <c r="J456" s="78"/>
    </row>
    <row r="457" spans="9:10">
      <c r="I457" s="78"/>
      <c r="J457" s="78"/>
    </row>
    <row r="458" spans="9:10">
      <c r="I458" s="78"/>
      <c r="J458" s="78"/>
    </row>
    <row r="459" spans="9:10">
      <c r="I459" s="78"/>
      <c r="J459" s="78"/>
    </row>
    <row r="460" spans="9:10">
      <c r="I460" s="78"/>
      <c r="J460" s="78"/>
    </row>
    <row r="461" spans="9:10">
      <c r="I461" s="78"/>
      <c r="J461" s="78"/>
    </row>
    <row r="462" spans="9:10">
      <c r="I462" s="78"/>
      <c r="J462" s="78"/>
    </row>
    <row r="463" spans="9:10">
      <c r="I463" s="78"/>
      <c r="J463" s="78"/>
    </row>
    <row r="464" spans="9:10">
      <c r="I464" s="78"/>
      <c r="J464" s="78"/>
    </row>
    <row r="465" spans="9:10">
      <c r="I465" s="78"/>
      <c r="J465" s="78"/>
    </row>
    <row r="466" spans="9:10">
      <c r="I466" s="78"/>
      <c r="J466" s="78"/>
    </row>
    <row r="467" spans="9:10">
      <c r="I467" s="78"/>
      <c r="J467" s="78"/>
    </row>
    <row r="468" spans="9:10">
      <c r="I468" s="78"/>
      <c r="J468" s="78"/>
    </row>
    <row r="469" spans="9:10">
      <c r="I469" s="78"/>
      <c r="J469" s="78"/>
    </row>
    <row r="470" spans="9:10">
      <c r="I470" s="78"/>
      <c r="J470" s="78"/>
    </row>
    <row r="471" spans="9:10">
      <c r="I471" s="78"/>
      <c r="J471" s="78"/>
    </row>
    <row r="472" spans="9:10">
      <c r="I472" s="78"/>
      <c r="J472" s="78"/>
    </row>
    <row r="473" spans="9:10">
      <c r="I473" s="78"/>
      <c r="J473" s="78"/>
    </row>
    <row r="474" spans="9:10">
      <c r="I474" s="78"/>
      <c r="J474" s="78"/>
    </row>
    <row r="475" spans="9:10">
      <c r="I475" s="78"/>
      <c r="J475" s="78"/>
    </row>
    <row r="476" spans="9:10">
      <c r="I476" s="78"/>
      <c r="J476" s="78"/>
    </row>
    <row r="477" spans="9:10">
      <c r="I477" s="78"/>
      <c r="J477" s="78"/>
    </row>
    <row r="478" spans="9:10">
      <c r="I478" s="78"/>
      <c r="J478" s="78"/>
    </row>
    <row r="479" spans="9:10">
      <c r="I479" s="78"/>
      <c r="J479" s="78"/>
    </row>
    <row r="480" spans="9:10">
      <c r="I480" s="78"/>
      <c r="J480" s="78"/>
    </row>
    <row r="481" spans="9:10">
      <c r="I481" s="78"/>
      <c r="J481" s="78"/>
    </row>
    <row r="482" spans="9:10">
      <c r="I482" s="78"/>
      <c r="J482" s="78"/>
    </row>
    <row r="483" spans="9:10">
      <c r="I483" s="78"/>
      <c r="J483" s="78"/>
    </row>
    <row r="484" spans="9:10">
      <c r="I484" s="78"/>
      <c r="J484" s="78"/>
    </row>
    <row r="485" spans="9:10">
      <c r="I485" s="78"/>
      <c r="J485" s="78"/>
    </row>
    <row r="486" spans="9:10">
      <c r="I486" s="78"/>
      <c r="J486" s="78"/>
    </row>
    <row r="487" spans="9:10">
      <c r="I487" s="78"/>
      <c r="J487" s="78"/>
    </row>
    <row r="488" spans="9:10">
      <c r="I488" s="78"/>
      <c r="J488" s="78"/>
    </row>
    <row r="489" spans="9:10">
      <c r="I489" s="78"/>
      <c r="J489" s="78"/>
    </row>
    <row r="490" spans="9:10">
      <c r="I490" s="78"/>
      <c r="J490" s="78"/>
    </row>
    <row r="491" spans="9:10">
      <c r="I491" s="78"/>
      <c r="J491" s="78"/>
    </row>
    <row r="492" spans="9:10">
      <c r="I492" s="78"/>
      <c r="J492" s="78"/>
    </row>
    <row r="493" spans="9:10">
      <c r="I493" s="78"/>
      <c r="J493" s="78"/>
    </row>
    <row r="494" spans="9:10">
      <c r="I494" s="78"/>
      <c r="J494" s="78"/>
    </row>
    <row r="495" spans="9:10">
      <c r="I495" s="78"/>
      <c r="J495" s="78"/>
    </row>
    <row r="496" spans="9:10">
      <c r="I496" s="78"/>
      <c r="J496" s="78"/>
    </row>
    <row r="497" spans="9:10">
      <c r="I497" s="78"/>
      <c r="J497" s="78"/>
    </row>
    <row r="498" spans="9:10">
      <c r="I498" s="78"/>
      <c r="J498" s="78"/>
    </row>
    <row r="499" spans="9:10">
      <c r="I499" s="78"/>
      <c r="J499" s="78"/>
    </row>
    <row r="500" spans="9:10">
      <c r="I500" s="78"/>
      <c r="J500" s="78"/>
    </row>
    <row r="501" spans="9:10">
      <c r="I501" s="78"/>
      <c r="J501" s="78"/>
    </row>
    <row r="502" spans="9:10">
      <c r="I502" s="78"/>
      <c r="J502" s="78"/>
    </row>
    <row r="503" spans="9:10">
      <c r="I503" s="78"/>
      <c r="J503" s="78"/>
    </row>
    <row r="504" spans="9:10">
      <c r="I504" s="78"/>
      <c r="J504" s="78"/>
    </row>
    <row r="505" spans="9:10">
      <c r="I505" s="78"/>
      <c r="J505" s="78"/>
    </row>
    <row r="506" spans="9:10">
      <c r="I506" s="78"/>
      <c r="J506" s="78"/>
    </row>
    <row r="507" spans="9:10">
      <c r="I507" s="78"/>
      <c r="J507" s="78"/>
    </row>
    <row r="508" spans="9:10">
      <c r="I508" s="78"/>
      <c r="J508" s="78"/>
    </row>
    <row r="509" spans="9:10">
      <c r="I509" s="78"/>
      <c r="J509" s="78"/>
    </row>
    <row r="510" spans="9:10">
      <c r="I510" s="78"/>
      <c r="J510" s="78"/>
    </row>
    <row r="511" spans="9:10">
      <c r="I511" s="78"/>
      <c r="J511" s="78"/>
    </row>
    <row r="512" spans="9:10">
      <c r="I512" s="78"/>
      <c r="J512" s="78"/>
    </row>
    <row r="513" spans="9:10">
      <c r="I513" s="78"/>
      <c r="J513" s="78"/>
    </row>
    <row r="514" spans="9:10">
      <c r="I514" s="78"/>
      <c r="J514" s="78"/>
    </row>
    <row r="515" spans="9:10">
      <c r="I515" s="78"/>
      <c r="J515" s="78"/>
    </row>
    <row r="516" spans="9:10">
      <c r="I516" s="78"/>
      <c r="J516" s="78"/>
    </row>
    <row r="517" spans="9:10">
      <c r="I517" s="78"/>
      <c r="J517" s="78"/>
    </row>
    <row r="518" spans="9:10">
      <c r="I518" s="78"/>
      <c r="J518" s="78"/>
    </row>
    <row r="519" spans="9:10">
      <c r="I519" s="78"/>
      <c r="J519" s="78"/>
    </row>
    <row r="520" spans="9:10">
      <c r="I520" s="78"/>
      <c r="J520" s="78"/>
    </row>
    <row r="521" spans="9:10">
      <c r="I521" s="78"/>
      <c r="J521" s="78"/>
    </row>
    <row r="522" spans="9:10">
      <c r="I522" s="78"/>
      <c r="J522" s="78"/>
    </row>
    <row r="523" spans="9:10">
      <c r="I523" s="78"/>
      <c r="J523" s="78"/>
    </row>
    <row r="524" spans="9:10">
      <c r="I524" s="78"/>
      <c r="J524" s="78"/>
    </row>
    <row r="525" spans="9:10">
      <c r="I525" s="78"/>
      <c r="J525" s="78"/>
    </row>
    <row r="526" spans="9:10">
      <c r="I526" s="78"/>
      <c r="J526" s="78"/>
    </row>
    <row r="527" spans="9:10">
      <c r="I527" s="78"/>
      <c r="J527" s="78"/>
    </row>
    <row r="528" spans="9:10">
      <c r="I528" s="78"/>
      <c r="J528" s="78"/>
    </row>
    <row r="529" spans="9:10">
      <c r="I529" s="78"/>
      <c r="J529" s="78"/>
    </row>
    <row r="530" spans="9:10">
      <c r="I530" s="78"/>
      <c r="J530" s="78"/>
    </row>
    <row r="531" spans="9:10">
      <c r="I531" s="78"/>
      <c r="J531" s="78"/>
    </row>
    <row r="532" spans="9:10">
      <c r="I532" s="78"/>
      <c r="J532" s="78"/>
    </row>
    <row r="533" spans="9:10">
      <c r="I533" s="78"/>
      <c r="J533" s="78"/>
    </row>
    <row r="534" spans="9:10">
      <c r="I534" s="78"/>
      <c r="J534" s="78"/>
    </row>
    <row r="535" spans="9:10">
      <c r="I535" s="78"/>
      <c r="J535" s="78"/>
    </row>
    <row r="536" spans="9:10">
      <c r="I536" s="78"/>
      <c r="J536" s="78"/>
    </row>
    <row r="537" spans="9:10">
      <c r="I537" s="78"/>
      <c r="J537" s="78"/>
    </row>
    <row r="538" spans="9:10">
      <c r="I538" s="78"/>
      <c r="J538" s="78"/>
    </row>
    <row r="539" spans="9:10">
      <c r="I539" s="78"/>
      <c r="J539" s="78"/>
    </row>
    <row r="540" spans="9:10">
      <c r="I540" s="78"/>
      <c r="J540" s="78"/>
    </row>
    <row r="541" spans="9:10">
      <c r="I541" s="78"/>
      <c r="J541" s="78"/>
    </row>
    <row r="542" spans="9:10">
      <c r="I542" s="78"/>
      <c r="J542" s="78"/>
    </row>
    <row r="543" spans="9:10">
      <c r="I543" s="78"/>
      <c r="J543" s="78"/>
    </row>
    <row r="544" spans="9:10">
      <c r="I544" s="78"/>
      <c r="J544" s="78"/>
    </row>
    <row r="545" spans="9:10">
      <c r="I545" s="78"/>
      <c r="J545" s="78"/>
    </row>
    <row r="546" spans="9:10">
      <c r="I546" s="78"/>
      <c r="J546" s="78"/>
    </row>
    <row r="547" spans="9:10">
      <c r="I547" s="78"/>
      <c r="J547" s="78"/>
    </row>
    <row r="548" spans="9:10">
      <c r="I548" s="78"/>
      <c r="J548" s="78"/>
    </row>
    <row r="549" spans="9:10">
      <c r="I549" s="78"/>
      <c r="J549" s="78"/>
    </row>
    <row r="550" spans="9:10">
      <c r="I550" s="78"/>
      <c r="J550" s="78"/>
    </row>
    <row r="551" spans="9:10">
      <c r="I551" s="78"/>
      <c r="J551" s="78"/>
    </row>
    <row r="552" spans="9:10">
      <c r="I552" s="78"/>
      <c r="J552" s="78"/>
    </row>
    <row r="553" spans="9:10">
      <c r="I553" s="78"/>
      <c r="J553" s="78"/>
    </row>
    <row r="554" spans="9:10">
      <c r="I554" s="78"/>
      <c r="J554" s="78"/>
    </row>
    <row r="555" spans="9:10">
      <c r="I555" s="78"/>
      <c r="J555" s="78"/>
    </row>
    <row r="556" spans="9:10">
      <c r="I556" s="78"/>
      <c r="J556" s="78"/>
    </row>
    <row r="557" spans="9:10">
      <c r="I557" s="78"/>
      <c r="J557" s="78"/>
    </row>
    <row r="558" spans="9:10">
      <c r="I558" s="78"/>
      <c r="J558" s="78"/>
    </row>
    <row r="559" spans="9:10">
      <c r="I559" s="78"/>
      <c r="J559" s="78"/>
    </row>
    <row r="560" spans="9:10">
      <c r="I560" s="78"/>
      <c r="J560" s="78"/>
    </row>
    <row r="561" spans="9:10">
      <c r="I561" s="78"/>
      <c r="J561" s="78"/>
    </row>
    <row r="562" spans="9:10">
      <c r="I562" s="78"/>
      <c r="J562" s="78"/>
    </row>
    <row r="563" spans="9:10">
      <c r="I563" s="78"/>
      <c r="J563" s="78"/>
    </row>
    <row r="564" spans="9:10">
      <c r="I564" s="78"/>
      <c r="J564" s="78"/>
    </row>
    <row r="565" spans="9:10">
      <c r="I565" s="78"/>
      <c r="J565" s="78"/>
    </row>
    <row r="566" spans="9:10">
      <c r="I566" s="78"/>
      <c r="J566" s="78"/>
    </row>
    <row r="567" spans="9:10">
      <c r="I567" s="78"/>
      <c r="J567" s="78"/>
    </row>
    <row r="568" spans="9:10">
      <c r="I568" s="78"/>
      <c r="J568" s="78"/>
    </row>
    <row r="569" spans="9:10">
      <c r="I569" s="78"/>
      <c r="J569" s="78"/>
    </row>
    <row r="570" spans="9:10">
      <c r="I570" s="78"/>
      <c r="J570" s="78"/>
    </row>
    <row r="571" spans="9:10">
      <c r="I571" s="78"/>
      <c r="J571" s="78"/>
    </row>
    <row r="572" spans="9:10">
      <c r="I572" s="78"/>
      <c r="J572" s="78"/>
    </row>
    <row r="573" spans="9:10">
      <c r="I573" s="78"/>
      <c r="J573" s="78"/>
    </row>
    <row r="574" spans="9:10">
      <c r="I574" s="78"/>
      <c r="J574" s="78"/>
    </row>
    <row r="575" spans="9:10">
      <c r="I575" s="78"/>
      <c r="J575" s="78"/>
    </row>
    <row r="576" spans="9:10">
      <c r="I576" s="78"/>
      <c r="J576" s="78"/>
    </row>
    <row r="577" spans="9:10">
      <c r="I577" s="78"/>
      <c r="J577" s="78"/>
    </row>
    <row r="578" spans="9:10">
      <c r="I578" s="78"/>
      <c r="J578" s="78"/>
    </row>
    <row r="579" spans="9:10">
      <c r="I579" s="78"/>
      <c r="J579" s="78"/>
    </row>
    <row r="580" spans="9:10">
      <c r="I580" s="78"/>
      <c r="J580" s="78"/>
    </row>
    <row r="581" spans="9:10">
      <c r="I581" s="78"/>
      <c r="J581" s="78"/>
    </row>
    <row r="582" spans="9:10">
      <c r="I582" s="78"/>
      <c r="J582" s="78"/>
    </row>
    <row r="583" spans="9:10">
      <c r="I583" s="78"/>
      <c r="J583" s="78"/>
    </row>
    <row r="584" spans="9:10">
      <c r="I584" s="78"/>
      <c r="J584" s="78"/>
    </row>
    <row r="585" spans="9:10">
      <c r="I585" s="78"/>
      <c r="J585" s="78"/>
    </row>
    <row r="586" spans="9:10">
      <c r="I586" s="78"/>
      <c r="J586" s="78"/>
    </row>
    <row r="587" spans="9:10">
      <c r="I587" s="78"/>
      <c r="J587" s="78"/>
    </row>
    <row r="588" spans="9:10">
      <c r="I588" s="78"/>
      <c r="J588" s="78"/>
    </row>
    <row r="589" spans="9:10">
      <c r="I589" s="78"/>
      <c r="J589" s="78"/>
    </row>
    <row r="590" spans="9:10">
      <c r="I590" s="78"/>
      <c r="J590" s="78"/>
    </row>
    <row r="591" spans="9:10">
      <c r="I591" s="78"/>
      <c r="J591" s="78"/>
    </row>
    <row r="592" spans="9:10">
      <c r="I592" s="78"/>
      <c r="J592" s="78"/>
    </row>
    <row r="593" spans="9:10">
      <c r="I593" s="78"/>
      <c r="J593" s="78"/>
    </row>
    <row r="594" spans="9:10">
      <c r="I594" s="78"/>
      <c r="J594" s="78"/>
    </row>
    <row r="595" spans="9:10">
      <c r="I595" s="78"/>
      <c r="J595" s="78"/>
    </row>
    <row r="596" spans="9:10">
      <c r="I596" s="78"/>
      <c r="J596" s="78"/>
    </row>
    <row r="597" spans="9:10">
      <c r="I597" s="78"/>
      <c r="J597" s="78"/>
    </row>
    <row r="598" spans="9:10">
      <c r="I598" s="78"/>
      <c r="J598" s="78"/>
    </row>
    <row r="599" spans="9:10">
      <c r="I599" s="78"/>
      <c r="J599" s="78"/>
    </row>
    <row r="600" spans="9:10">
      <c r="I600" s="78"/>
      <c r="J600" s="78"/>
    </row>
    <row r="601" spans="9:10">
      <c r="I601" s="78"/>
      <c r="J601" s="78"/>
    </row>
    <row r="602" spans="9:10">
      <c r="I602" s="78"/>
      <c r="J602" s="78"/>
    </row>
    <row r="603" spans="9:10">
      <c r="I603" s="78"/>
      <c r="J603" s="78"/>
    </row>
    <row r="604" spans="9:10">
      <c r="I604" s="78"/>
      <c r="J604" s="78"/>
    </row>
    <row r="605" spans="9:10">
      <c r="I605" s="78"/>
      <c r="J605" s="78"/>
    </row>
    <row r="606" spans="9:10">
      <c r="I606" s="78"/>
      <c r="J606" s="78"/>
    </row>
    <row r="607" spans="9:10">
      <c r="I607" s="78"/>
      <c r="J607" s="78"/>
    </row>
    <row r="608" spans="9:10">
      <c r="I608" s="78"/>
      <c r="J608" s="78"/>
    </row>
    <row r="609" spans="9:10">
      <c r="I609" s="78"/>
      <c r="J609" s="78"/>
    </row>
    <row r="610" spans="9:10">
      <c r="I610" s="78"/>
      <c r="J610" s="78"/>
    </row>
    <row r="611" spans="9:10">
      <c r="I611" s="78"/>
      <c r="J611" s="78"/>
    </row>
    <row r="612" spans="9:10">
      <c r="I612" s="78"/>
      <c r="J612" s="78"/>
    </row>
    <row r="613" spans="9:10">
      <c r="I613" s="78"/>
      <c r="J613" s="78"/>
    </row>
    <row r="614" spans="9:10">
      <c r="I614" s="78"/>
      <c r="J614" s="78"/>
    </row>
    <row r="615" spans="9:10">
      <c r="I615" s="78"/>
      <c r="J615" s="78"/>
    </row>
    <row r="616" spans="9:10">
      <c r="I616" s="78"/>
      <c r="J616" s="78"/>
    </row>
    <row r="617" spans="9:10">
      <c r="I617" s="78"/>
      <c r="J617" s="78"/>
    </row>
    <row r="618" spans="9:10">
      <c r="I618" s="78"/>
      <c r="J618" s="78"/>
    </row>
    <row r="619" spans="9:10">
      <c r="I619" s="78"/>
      <c r="J619" s="78"/>
    </row>
    <row r="620" spans="9:10">
      <c r="I620" s="78"/>
      <c r="J620" s="78"/>
    </row>
    <row r="621" spans="9:10">
      <c r="I621" s="78"/>
      <c r="J621" s="78"/>
    </row>
    <row r="622" spans="9:10">
      <c r="I622" s="78"/>
      <c r="J622" s="78"/>
    </row>
    <row r="623" spans="9:10">
      <c r="I623" s="78"/>
      <c r="J623" s="78"/>
    </row>
    <row r="624" spans="9:10">
      <c r="I624" s="78"/>
      <c r="J624" s="78"/>
    </row>
    <row r="625" spans="9:10">
      <c r="I625" s="78"/>
      <c r="J625" s="78"/>
    </row>
    <row r="626" spans="9:10">
      <c r="I626" s="78"/>
      <c r="J626" s="78"/>
    </row>
    <row r="627" spans="9:10">
      <c r="I627" s="78"/>
      <c r="J627" s="78"/>
    </row>
    <row r="628" spans="9:10">
      <c r="I628" s="78"/>
      <c r="J628" s="78"/>
    </row>
    <row r="629" spans="9:10">
      <c r="I629" s="78"/>
      <c r="J629" s="78"/>
    </row>
    <row r="630" spans="9:10">
      <c r="I630" s="78"/>
      <c r="J630" s="78"/>
    </row>
    <row r="631" spans="9:10">
      <c r="I631" s="78"/>
      <c r="J631" s="78"/>
    </row>
    <row r="632" spans="9:10">
      <c r="I632" s="78"/>
      <c r="J632" s="78"/>
    </row>
    <row r="633" spans="9:10">
      <c r="I633" s="78"/>
      <c r="J633" s="78"/>
    </row>
    <row r="634" spans="9:10">
      <c r="I634" s="78"/>
      <c r="J634" s="78"/>
    </row>
    <row r="635" spans="9:10">
      <c r="I635" s="78"/>
      <c r="J635" s="78"/>
    </row>
    <row r="636" spans="9:10">
      <c r="I636" s="78"/>
      <c r="J636" s="78"/>
    </row>
    <row r="637" spans="9:10">
      <c r="I637" s="78"/>
      <c r="J637" s="78"/>
    </row>
    <row r="638" spans="9:10">
      <c r="I638" s="78"/>
      <c r="J638" s="78"/>
    </row>
    <row r="639" spans="9:10">
      <c r="I639" s="78"/>
      <c r="J639" s="78"/>
    </row>
    <row r="640" spans="9:10">
      <c r="I640" s="78"/>
      <c r="J640" s="78"/>
    </row>
    <row r="641" spans="9:10">
      <c r="I641" s="78"/>
      <c r="J641" s="78"/>
    </row>
    <row r="642" spans="9:10">
      <c r="I642" s="78"/>
      <c r="J642" s="78"/>
    </row>
    <row r="643" spans="9:10">
      <c r="I643" s="78"/>
      <c r="J643" s="78"/>
    </row>
    <row r="644" spans="9:10">
      <c r="I644" s="78"/>
      <c r="J644" s="78"/>
    </row>
    <row r="645" spans="9:10">
      <c r="I645" s="78"/>
      <c r="J645" s="78"/>
    </row>
    <row r="646" spans="9:10">
      <c r="I646" s="78"/>
      <c r="J646" s="78"/>
    </row>
    <row r="647" spans="9:10">
      <c r="I647" s="78"/>
      <c r="J647" s="78"/>
    </row>
    <row r="648" spans="9:10">
      <c r="I648" s="78"/>
      <c r="J648" s="78"/>
    </row>
    <row r="649" spans="9:10">
      <c r="I649" s="78"/>
      <c r="J649" s="78"/>
    </row>
    <row r="650" spans="9:10">
      <c r="I650" s="78"/>
      <c r="J650" s="78"/>
    </row>
    <row r="651" spans="9:10">
      <c r="I651" s="78"/>
      <c r="J651" s="78"/>
    </row>
    <row r="652" spans="9:10">
      <c r="I652" s="78"/>
      <c r="J652" s="78"/>
    </row>
    <row r="653" spans="9:10">
      <c r="I653" s="78"/>
      <c r="J653" s="78"/>
    </row>
    <row r="654" spans="9:10">
      <c r="I654" s="78"/>
      <c r="J654" s="78"/>
    </row>
    <row r="655" spans="9:10">
      <c r="I655" s="78"/>
      <c r="J655" s="78"/>
    </row>
    <row r="656" spans="9:10">
      <c r="I656" s="78"/>
      <c r="J656" s="78"/>
    </row>
    <row r="657" spans="9:10">
      <c r="I657" s="78"/>
      <c r="J657" s="78"/>
    </row>
    <row r="658" spans="9:10">
      <c r="I658" s="78"/>
      <c r="J658" s="78"/>
    </row>
    <row r="659" spans="9:10">
      <c r="I659" s="78"/>
      <c r="J659" s="78"/>
    </row>
    <row r="660" spans="9:10">
      <c r="I660" s="78"/>
      <c r="J660" s="78"/>
    </row>
    <row r="661" spans="9:10">
      <c r="I661" s="78"/>
      <c r="J661" s="78"/>
    </row>
    <row r="662" spans="9:10">
      <c r="I662" s="78"/>
      <c r="J662" s="78"/>
    </row>
    <row r="663" spans="9:10">
      <c r="I663" s="78"/>
      <c r="J663" s="78"/>
    </row>
    <row r="664" spans="9:10">
      <c r="I664" s="78"/>
      <c r="J664" s="78"/>
    </row>
    <row r="665" spans="9:10">
      <c r="I665" s="78"/>
      <c r="J665" s="78"/>
    </row>
    <row r="666" spans="9:10">
      <c r="I666" s="78"/>
      <c r="J666" s="78"/>
    </row>
    <row r="667" spans="9:10">
      <c r="I667" s="78"/>
      <c r="J667" s="78"/>
    </row>
    <row r="668" spans="9:10">
      <c r="I668" s="78"/>
      <c r="J668" s="78"/>
    </row>
    <row r="669" spans="9:10">
      <c r="I669" s="78"/>
      <c r="J669" s="78"/>
    </row>
    <row r="670" spans="9:10">
      <c r="I670" s="78"/>
      <c r="J670" s="78"/>
    </row>
    <row r="671" spans="9:10">
      <c r="I671" s="78"/>
      <c r="J671" s="78"/>
    </row>
    <row r="672" spans="9:10">
      <c r="I672" s="78"/>
      <c r="J672" s="78"/>
    </row>
    <row r="673" spans="9:10">
      <c r="I673" s="78"/>
      <c r="J673" s="78"/>
    </row>
    <row r="674" spans="9:10">
      <c r="I674" s="78"/>
      <c r="J674" s="78"/>
    </row>
    <row r="675" spans="9:10">
      <c r="I675" s="78"/>
      <c r="J675" s="78"/>
    </row>
    <row r="676" spans="9:10">
      <c r="I676" s="78"/>
      <c r="J676" s="78"/>
    </row>
    <row r="677" spans="9:10">
      <c r="I677" s="78"/>
      <c r="J677" s="78"/>
    </row>
    <row r="678" spans="9:10">
      <c r="I678" s="78"/>
      <c r="J678" s="78"/>
    </row>
    <row r="679" spans="9:10">
      <c r="I679" s="78"/>
      <c r="J679" s="78"/>
    </row>
    <row r="680" spans="9:10">
      <c r="I680" s="78"/>
      <c r="J680" s="78"/>
    </row>
    <row r="681" spans="9:10">
      <c r="I681" s="78"/>
      <c r="J681" s="78"/>
    </row>
    <row r="682" spans="9:10">
      <c r="I682" s="78"/>
      <c r="J682" s="78"/>
    </row>
    <row r="683" spans="9:10">
      <c r="I683" s="78"/>
      <c r="J683" s="78"/>
    </row>
    <row r="684" spans="9:10">
      <c r="I684" s="78"/>
      <c r="J684" s="78"/>
    </row>
    <row r="685" spans="9:10">
      <c r="I685" s="78"/>
      <c r="J685" s="78"/>
    </row>
    <row r="686" spans="9:10">
      <c r="I686" s="78"/>
      <c r="J686" s="78"/>
    </row>
    <row r="687" spans="9:10">
      <c r="I687" s="78"/>
      <c r="J687" s="78"/>
    </row>
    <row r="688" spans="9:10">
      <c r="I688" s="78"/>
      <c r="J688" s="78"/>
    </row>
    <row r="689" spans="9:10">
      <c r="I689" s="78"/>
      <c r="J689" s="78"/>
    </row>
    <row r="690" spans="9:10">
      <c r="I690" s="78"/>
      <c r="J690" s="78"/>
    </row>
    <row r="691" spans="9:10">
      <c r="I691" s="78"/>
      <c r="J691" s="78"/>
    </row>
    <row r="692" spans="9:10">
      <c r="I692" s="78"/>
      <c r="J692" s="78"/>
    </row>
    <row r="693" spans="9:10">
      <c r="I693" s="78"/>
      <c r="J693" s="78"/>
    </row>
    <row r="694" spans="9:10">
      <c r="I694" s="78"/>
      <c r="J694" s="78"/>
    </row>
    <row r="695" spans="9:10">
      <c r="I695" s="78"/>
      <c r="J695" s="78"/>
    </row>
    <row r="696" spans="9:10">
      <c r="I696" s="78"/>
      <c r="J696" s="78"/>
    </row>
    <row r="697" spans="9:10">
      <c r="I697" s="78"/>
      <c r="J697" s="78"/>
    </row>
    <row r="698" spans="9:10">
      <c r="I698" s="78"/>
      <c r="J698" s="78"/>
    </row>
    <row r="699" spans="9:10">
      <c r="I699" s="78"/>
      <c r="J699" s="78"/>
    </row>
    <row r="700" spans="9:10">
      <c r="I700" s="78"/>
      <c r="J700" s="78"/>
    </row>
    <row r="701" spans="9:10">
      <c r="I701" s="78"/>
      <c r="J701" s="78"/>
    </row>
    <row r="702" spans="9:10">
      <c r="I702" s="78"/>
      <c r="J702" s="78"/>
    </row>
    <row r="703" spans="9:10">
      <c r="I703" s="78"/>
      <c r="J703" s="78"/>
    </row>
    <row r="704" spans="9:10">
      <c r="I704" s="78"/>
      <c r="J704" s="78"/>
    </row>
    <row r="705" spans="9:10">
      <c r="I705" s="78"/>
      <c r="J705" s="78"/>
    </row>
    <row r="706" spans="9:10">
      <c r="I706" s="78"/>
      <c r="J706" s="78"/>
    </row>
    <row r="707" spans="9:10">
      <c r="I707" s="78"/>
      <c r="J707" s="78"/>
    </row>
    <row r="708" spans="9:10">
      <c r="I708" s="78"/>
      <c r="J708" s="78"/>
    </row>
    <row r="709" spans="9:10">
      <c r="I709" s="78"/>
      <c r="J709" s="78"/>
    </row>
    <row r="710" spans="9:10">
      <c r="I710" s="78"/>
      <c r="J710" s="78"/>
    </row>
    <row r="711" spans="9:10">
      <c r="I711" s="78"/>
      <c r="J711" s="78"/>
    </row>
    <row r="712" spans="9:10">
      <c r="I712" s="78"/>
      <c r="J712" s="78"/>
    </row>
    <row r="713" spans="9:10">
      <c r="I713" s="78"/>
      <c r="J713" s="78"/>
    </row>
    <row r="714" spans="9:10">
      <c r="I714" s="78"/>
      <c r="J714" s="78"/>
    </row>
    <row r="715" spans="9:10">
      <c r="I715" s="78"/>
      <c r="J715" s="78"/>
    </row>
    <row r="716" spans="9:10">
      <c r="I716" s="78"/>
      <c r="J716" s="78"/>
    </row>
    <row r="717" spans="9:10">
      <c r="I717" s="78"/>
      <c r="J717" s="78"/>
    </row>
    <row r="718" spans="9:10">
      <c r="I718" s="78"/>
      <c r="J718" s="78"/>
    </row>
    <row r="719" spans="9:10">
      <c r="I719" s="78"/>
      <c r="J719" s="78"/>
    </row>
    <row r="720" spans="9:10">
      <c r="I720" s="78"/>
      <c r="J720" s="78"/>
    </row>
    <row r="721" spans="9:10">
      <c r="I721" s="78"/>
      <c r="J721" s="78"/>
    </row>
    <row r="722" spans="9:10">
      <c r="I722" s="78"/>
      <c r="J722" s="78"/>
    </row>
    <row r="723" spans="9:10">
      <c r="I723" s="78"/>
      <c r="J723" s="78"/>
    </row>
    <row r="724" spans="9:10">
      <c r="I724" s="78"/>
      <c r="J724" s="78"/>
    </row>
    <row r="725" spans="9:10">
      <c r="I725" s="78"/>
      <c r="J725" s="78"/>
    </row>
    <row r="726" spans="9:10">
      <c r="I726" s="78"/>
      <c r="J726" s="78"/>
    </row>
    <row r="727" spans="9:10">
      <c r="I727" s="78"/>
      <c r="J727" s="78"/>
    </row>
    <row r="728" spans="9:10">
      <c r="I728" s="78"/>
      <c r="J728" s="78"/>
    </row>
    <row r="729" spans="9:10">
      <c r="I729" s="78"/>
      <c r="J729" s="78"/>
    </row>
    <row r="730" spans="9:10">
      <c r="I730" s="78"/>
      <c r="J730" s="78"/>
    </row>
    <row r="731" spans="9:10">
      <c r="I731" s="78"/>
      <c r="J731" s="78"/>
    </row>
    <row r="732" spans="9:10">
      <c r="I732" s="78"/>
      <c r="J732" s="78"/>
    </row>
    <row r="733" spans="9:10">
      <c r="I733" s="78"/>
      <c r="J733" s="78"/>
    </row>
    <row r="734" spans="9:10">
      <c r="I734" s="78"/>
      <c r="J734" s="78"/>
    </row>
    <row r="735" spans="9:10">
      <c r="I735" s="78"/>
      <c r="J735" s="78"/>
    </row>
    <row r="736" spans="9:10">
      <c r="I736" s="78"/>
      <c r="J736" s="78"/>
    </row>
    <row r="737" spans="9:10">
      <c r="I737" s="78"/>
      <c r="J737" s="78"/>
    </row>
    <row r="738" spans="9:10">
      <c r="I738" s="78"/>
      <c r="J738" s="78"/>
    </row>
    <row r="739" spans="9:10">
      <c r="I739" s="78"/>
      <c r="J739" s="78"/>
    </row>
    <row r="740" spans="9:10">
      <c r="I740" s="78"/>
      <c r="J740" s="78"/>
    </row>
    <row r="741" spans="9:10">
      <c r="I741" s="78"/>
      <c r="J741" s="78"/>
    </row>
    <row r="742" spans="9:10">
      <c r="I742" s="78"/>
      <c r="J742" s="78"/>
    </row>
    <row r="743" spans="9:10">
      <c r="I743" s="78"/>
      <c r="J743" s="78"/>
    </row>
    <row r="744" spans="9:10">
      <c r="I744" s="78"/>
      <c r="J744" s="78"/>
    </row>
    <row r="745" spans="9:10">
      <c r="I745" s="78"/>
      <c r="J745" s="78"/>
    </row>
    <row r="746" spans="9:10">
      <c r="I746" s="78"/>
      <c r="J746" s="78"/>
    </row>
    <row r="747" spans="9:10">
      <c r="I747" s="78"/>
      <c r="J747" s="78"/>
    </row>
    <row r="748" spans="9:10">
      <c r="I748" s="78"/>
      <c r="J748" s="78"/>
    </row>
    <row r="749" spans="9:10">
      <c r="I749" s="78"/>
      <c r="J749" s="78"/>
    </row>
    <row r="750" spans="9:10">
      <c r="I750" s="78"/>
      <c r="J750" s="78"/>
    </row>
    <row r="751" spans="9:10">
      <c r="I751" s="78"/>
      <c r="J751" s="78"/>
    </row>
    <row r="752" spans="9:10">
      <c r="I752" s="78"/>
      <c r="J752" s="78"/>
    </row>
    <row r="753" spans="9:10">
      <c r="I753" s="78"/>
      <c r="J753" s="78"/>
    </row>
    <row r="754" spans="9:10">
      <c r="I754" s="78"/>
      <c r="J754" s="78"/>
    </row>
    <row r="755" spans="9:10">
      <c r="I755" s="78"/>
      <c r="J755" s="78"/>
    </row>
    <row r="756" spans="9:10">
      <c r="I756" s="78"/>
      <c r="J756" s="78"/>
    </row>
    <row r="757" spans="9:10">
      <c r="I757" s="78"/>
      <c r="J757" s="78"/>
    </row>
    <row r="758" spans="9:10">
      <c r="I758" s="78"/>
      <c r="J758" s="78"/>
    </row>
    <row r="759" spans="9:10">
      <c r="I759" s="78"/>
      <c r="J759" s="78"/>
    </row>
    <row r="760" spans="9:10">
      <c r="I760" s="78"/>
      <c r="J760" s="78"/>
    </row>
    <row r="761" spans="9:10">
      <c r="I761" s="78"/>
      <c r="J761" s="78"/>
    </row>
    <row r="762" spans="9:10">
      <c r="I762" s="78"/>
      <c r="J762" s="78"/>
    </row>
    <row r="763" spans="9:10">
      <c r="I763" s="78"/>
      <c r="J763" s="78"/>
    </row>
    <row r="764" spans="9:10">
      <c r="I764" s="78"/>
      <c r="J764" s="78"/>
    </row>
    <row r="765" spans="9:10">
      <c r="I765" s="78"/>
      <c r="J765" s="78"/>
    </row>
    <row r="766" spans="9:10">
      <c r="I766" s="78"/>
      <c r="J766" s="78"/>
    </row>
    <row r="767" spans="9:10">
      <c r="I767" s="78"/>
      <c r="J767" s="78"/>
    </row>
    <row r="768" spans="9:10">
      <c r="I768" s="78"/>
      <c r="J768" s="78"/>
    </row>
    <row r="769" spans="9:10">
      <c r="I769" s="78"/>
      <c r="J769" s="78"/>
    </row>
    <row r="770" spans="9:10">
      <c r="I770" s="78"/>
      <c r="J770" s="78"/>
    </row>
    <row r="771" spans="9:10">
      <c r="I771" s="78"/>
      <c r="J771" s="78"/>
    </row>
    <row r="772" spans="9:10">
      <c r="I772" s="78"/>
      <c r="J772" s="78"/>
    </row>
    <row r="773" spans="9:10">
      <c r="I773" s="78"/>
      <c r="J773" s="78"/>
    </row>
    <row r="774" spans="9:10">
      <c r="I774" s="78"/>
      <c r="J774" s="78"/>
    </row>
    <row r="775" spans="9:10">
      <c r="I775" s="78"/>
      <c r="J775" s="78"/>
    </row>
    <row r="776" spans="9:10">
      <c r="I776" s="78"/>
      <c r="J776" s="78"/>
    </row>
    <row r="777" spans="9:10">
      <c r="I777" s="78"/>
      <c r="J777" s="78"/>
    </row>
    <row r="778" spans="9:10">
      <c r="I778" s="78"/>
      <c r="J778" s="78"/>
    </row>
    <row r="779" spans="9:10">
      <c r="I779" s="78"/>
      <c r="J779" s="78"/>
    </row>
    <row r="780" spans="9:10">
      <c r="I780" s="78"/>
      <c r="J780" s="78"/>
    </row>
    <row r="781" spans="9:10">
      <c r="I781" s="78"/>
      <c r="J781" s="78"/>
    </row>
    <row r="782" spans="9:10">
      <c r="I782" s="78"/>
      <c r="J782" s="78"/>
    </row>
    <row r="783" spans="9:10">
      <c r="I783" s="78"/>
      <c r="J783" s="78"/>
    </row>
    <row r="784" spans="9:10">
      <c r="I784" s="78"/>
      <c r="J784" s="78"/>
    </row>
    <row r="785" spans="9:10">
      <c r="I785" s="78"/>
      <c r="J785" s="78"/>
    </row>
    <row r="786" spans="9:10">
      <c r="I786" s="78"/>
      <c r="J786" s="78"/>
    </row>
    <row r="787" spans="9:10">
      <c r="I787" s="78"/>
      <c r="J787" s="78"/>
    </row>
    <row r="788" spans="9:10">
      <c r="I788" s="78"/>
      <c r="J788" s="78"/>
    </row>
    <row r="789" spans="9:10">
      <c r="I789" s="78"/>
      <c r="J789" s="78"/>
    </row>
    <row r="790" spans="9:10">
      <c r="I790" s="78"/>
      <c r="J790" s="78"/>
    </row>
    <row r="791" spans="9:10">
      <c r="I791" s="78"/>
      <c r="J791" s="78"/>
    </row>
    <row r="792" spans="9:10">
      <c r="I792" s="78"/>
      <c r="J792" s="78"/>
    </row>
    <row r="793" spans="9:10">
      <c r="I793" s="78"/>
      <c r="J793" s="78"/>
    </row>
    <row r="794" spans="9:10">
      <c r="I794" s="78"/>
      <c r="J794" s="78"/>
    </row>
    <row r="795" spans="9:10">
      <c r="I795" s="78"/>
      <c r="J795" s="78"/>
    </row>
    <row r="796" spans="9:10">
      <c r="I796" s="78"/>
      <c r="J796" s="78"/>
    </row>
    <row r="797" spans="9:10">
      <c r="I797" s="78"/>
      <c r="J797" s="78"/>
    </row>
    <row r="798" spans="9:10">
      <c r="I798" s="78"/>
      <c r="J798" s="78"/>
    </row>
    <row r="799" spans="9:10">
      <c r="I799" s="78"/>
      <c r="J799" s="78"/>
    </row>
    <row r="800" spans="9:10">
      <c r="I800" s="78"/>
      <c r="J800" s="78"/>
    </row>
    <row r="801" spans="9:10">
      <c r="I801" s="78"/>
      <c r="J801" s="78"/>
    </row>
    <row r="802" spans="9:10">
      <c r="I802" s="78"/>
      <c r="J802" s="78"/>
    </row>
    <row r="803" spans="9:10">
      <c r="I803" s="78"/>
      <c r="J803" s="78"/>
    </row>
    <row r="804" spans="9:10">
      <c r="I804" s="78"/>
      <c r="J804" s="78"/>
    </row>
    <row r="805" spans="9:10">
      <c r="I805" s="78"/>
      <c r="J805" s="78"/>
    </row>
    <row r="806" spans="9:10">
      <c r="I806" s="78"/>
      <c r="J806" s="78"/>
    </row>
    <row r="807" spans="9:10">
      <c r="I807" s="78"/>
      <c r="J807" s="78"/>
    </row>
    <row r="808" spans="9:10">
      <c r="I808" s="78"/>
      <c r="J808" s="78"/>
    </row>
    <row r="809" spans="9:10">
      <c r="I809" s="78"/>
      <c r="J809" s="78"/>
    </row>
    <row r="810" spans="9:10">
      <c r="I810" s="78"/>
      <c r="J810" s="78"/>
    </row>
    <row r="811" spans="9:10">
      <c r="I811" s="78"/>
      <c r="J811" s="78"/>
    </row>
    <row r="812" spans="9:10">
      <c r="I812" s="78"/>
      <c r="J812" s="78"/>
    </row>
    <row r="813" spans="9:10">
      <c r="I813" s="78"/>
      <c r="J813" s="78"/>
    </row>
    <row r="814" spans="9:10">
      <c r="I814" s="78"/>
      <c r="J814" s="78"/>
    </row>
    <row r="815" spans="9:10">
      <c r="I815" s="78"/>
      <c r="J815" s="78"/>
    </row>
    <row r="816" spans="9:10">
      <c r="I816" s="78"/>
      <c r="J816" s="78"/>
    </row>
    <row r="817" spans="9:10">
      <c r="I817" s="78"/>
      <c r="J817" s="78"/>
    </row>
    <row r="818" spans="9:10">
      <c r="I818" s="78"/>
      <c r="J818" s="78"/>
    </row>
    <row r="819" spans="9:10">
      <c r="I819" s="78"/>
      <c r="J819" s="78"/>
    </row>
    <row r="820" spans="9:10">
      <c r="I820" s="78"/>
      <c r="J820" s="78"/>
    </row>
    <row r="821" spans="9:10">
      <c r="I821" s="78"/>
      <c r="J821" s="78"/>
    </row>
    <row r="822" spans="9:10">
      <c r="I822" s="78"/>
      <c r="J822" s="78"/>
    </row>
    <row r="823" spans="9:10">
      <c r="I823" s="78"/>
      <c r="J823" s="78"/>
    </row>
    <row r="824" spans="9:10">
      <c r="I824" s="78"/>
      <c r="J824" s="78"/>
    </row>
    <row r="825" spans="9:10">
      <c r="I825" s="78"/>
      <c r="J825" s="78"/>
    </row>
    <row r="826" spans="9:10">
      <c r="I826" s="78"/>
      <c r="J826" s="78"/>
    </row>
    <row r="827" spans="9:10">
      <c r="I827" s="78"/>
      <c r="J827" s="78"/>
    </row>
    <row r="828" spans="9:10">
      <c r="I828" s="78"/>
      <c r="J828" s="78"/>
    </row>
    <row r="829" spans="9:10">
      <c r="I829" s="78"/>
      <c r="J829" s="78"/>
    </row>
    <row r="830" spans="9:10">
      <c r="I830" s="78"/>
      <c r="J830" s="78"/>
    </row>
    <row r="831" spans="9:10">
      <c r="I831" s="78"/>
      <c r="J831" s="78"/>
    </row>
    <row r="832" spans="9:10">
      <c r="I832" s="78"/>
      <c r="J832" s="78"/>
    </row>
    <row r="833" spans="9:10">
      <c r="I833" s="78"/>
      <c r="J833" s="78"/>
    </row>
    <row r="834" spans="9:10">
      <c r="I834" s="78"/>
      <c r="J834" s="78"/>
    </row>
    <row r="835" spans="9:10">
      <c r="I835" s="78"/>
      <c r="J835" s="78"/>
    </row>
    <row r="836" spans="9:10">
      <c r="I836" s="78"/>
      <c r="J836" s="78"/>
    </row>
    <row r="837" spans="9:10">
      <c r="I837" s="78"/>
      <c r="J837" s="78"/>
    </row>
    <row r="838" spans="9:10">
      <c r="I838" s="78"/>
      <c r="J838" s="78"/>
    </row>
    <row r="839" spans="9:10">
      <c r="I839" s="78"/>
      <c r="J839" s="78"/>
    </row>
    <row r="840" spans="9:10">
      <c r="I840" s="78"/>
      <c r="J840" s="78"/>
    </row>
    <row r="841" spans="9:10">
      <c r="I841" s="78"/>
      <c r="J841" s="78"/>
    </row>
    <row r="842" spans="9:10">
      <c r="I842" s="78"/>
      <c r="J842" s="78"/>
    </row>
    <row r="843" spans="9:10">
      <c r="I843" s="78"/>
      <c r="J843" s="78"/>
    </row>
    <row r="844" spans="9:10">
      <c r="I844" s="78"/>
      <c r="J844" s="78"/>
    </row>
    <row r="845" spans="9:10">
      <c r="I845" s="78"/>
      <c r="J845" s="78"/>
    </row>
    <row r="846" spans="9:10">
      <c r="I846" s="78"/>
      <c r="J846" s="78"/>
    </row>
    <row r="847" spans="9:10">
      <c r="I847" s="78"/>
      <c r="J847" s="78"/>
    </row>
    <row r="848" spans="9:10">
      <c r="I848" s="78"/>
      <c r="J848" s="78"/>
    </row>
    <row r="849" spans="9:10">
      <c r="I849" s="78"/>
      <c r="J849" s="78"/>
    </row>
    <row r="850" spans="9:10">
      <c r="I850" s="78"/>
      <c r="J850" s="78"/>
    </row>
    <row r="851" spans="9:10">
      <c r="I851" s="78"/>
      <c r="J851" s="78"/>
    </row>
    <row r="852" spans="9:10">
      <c r="I852" s="78"/>
      <c r="J852" s="78"/>
    </row>
    <row r="853" spans="9:10">
      <c r="I853" s="78"/>
      <c r="J853" s="78"/>
    </row>
    <row r="854" spans="9:10">
      <c r="I854" s="78"/>
      <c r="J854" s="78"/>
    </row>
    <row r="855" spans="9:10">
      <c r="I855" s="78"/>
      <c r="J855" s="78"/>
    </row>
    <row r="856" spans="9:10">
      <c r="I856" s="78"/>
      <c r="J856" s="78"/>
    </row>
    <row r="857" spans="9:10">
      <c r="I857" s="78"/>
      <c r="J857" s="78"/>
    </row>
    <row r="858" spans="9:10">
      <c r="I858" s="78"/>
      <c r="J858" s="78"/>
    </row>
    <row r="859" spans="9:10">
      <c r="I859" s="78"/>
      <c r="J859" s="78"/>
    </row>
    <row r="860" spans="9:10">
      <c r="I860" s="78"/>
      <c r="J860" s="78"/>
    </row>
    <row r="861" spans="9:10">
      <c r="I861" s="78"/>
      <c r="J861" s="78"/>
    </row>
    <row r="862" spans="9:10">
      <c r="I862" s="78"/>
      <c r="J862" s="78"/>
    </row>
    <row r="863" spans="9:10">
      <c r="I863" s="78"/>
      <c r="J863" s="78"/>
    </row>
    <row r="864" spans="9:10">
      <c r="I864" s="78"/>
      <c r="J864" s="78"/>
    </row>
    <row r="865" spans="9:10">
      <c r="I865" s="78"/>
      <c r="J865" s="78"/>
    </row>
    <row r="866" spans="9:10">
      <c r="I866" s="78"/>
      <c r="J866" s="78"/>
    </row>
    <row r="867" spans="9:10">
      <c r="I867" s="78"/>
      <c r="J867" s="78"/>
    </row>
    <row r="868" spans="9:10">
      <c r="I868" s="78"/>
      <c r="J868" s="78"/>
    </row>
    <row r="869" spans="9:10">
      <c r="I869" s="78"/>
      <c r="J869" s="78"/>
    </row>
    <row r="870" spans="9:10">
      <c r="I870" s="78"/>
      <c r="J870" s="78"/>
    </row>
    <row r="871" spans="9:10">
      <c r="I871" s="78"/>
      <c r="J871" s="78"/>
    </row>
    <row r="872" spans="9:10">
      <c r="I872" s="78"/>
      <c r="J872" s="78"/>
    </row>
    <row r="873" spans="9:10">
      <c r="I873" s="78"/>
      <c r="J873" s="78"/>
    </row>
    <row r="874" spans="9:10">
      <c r="I874" s="78"/>
      <c r="J874" s="78"/>
    </row>
    <row r="875" spans="9:10">
      <c r="I875" s="78"/>
      <c r="J875" s="78"/>
    </row>
    <row r="876" spans="9:10">
      <c r="I876" s="78"/>
      <c r="J876" s="78"/>
    </row>
    <row r="877" spans="9:10">
      <c r="I877" s="78"/>
      <c r="J877" s="78"/>
    </row>
    <row r="878" spans="9:10">
      <c r="I878" s="78"/>
      <c r="J878" s="78"/>
    </row>
    <row r="879" spans="9:10">
      <c r="I879" s="78"/>
      <c r="J879" s="78"/>
    </row>
    <row r="880" spans="9:10">
      <c r="I880" s="78"/>
      <c r="J880" s="78"/>
    </row>
    <row r="881" spans="9:10">
      <c r="I881" s="78"/>
      <c r="J881" s="78"/>
    </row>
    <row r="882" spans="9:10">
      <c r="I882" s="78"/>
      <c r="J882" s="78"/>
    </row>
    <row r="883" spans="9:10">
      <c r="I883" s="78"/>
      <c r="J883" s="78"/>
    </row>
    <row r="884" spans="9:10">
      <c r="I884" s="78"/>
      <c r="J884" s="78"/>
    </row>
    <row r="885" spans="9:10">
      <c r="I885" s="78"/>
      <c r="J885" s="78"/>
    </row>
    <row r="886" spans="9:10">
      <c r="I886" s="78"/>
      <c r="J886" s="78"/>
    </row>
    <row r="887" spans="9:10">
      <c r="I887" s="78"/>
      <c r="J887" s="78"/>
    </row>
    <row r="888" spans="9:10">
      <c r="I888" s="78"/>
      <c r="J888" s="78"/>
    </row>
    <row r="889" spans="9:10">
      <c r="I889" s="78"/>
      <c r="J889" s="78"/>
    </row>
    <row r="890" spans="9:10">
      <c r="I890" s="78"/>
      <c r="J890" s="78"/>
    </row>
    <row r="891" spans="9:10">
      <c r="I891" s="78"/>
      <c r="J891" s="78"/>
    </row>
    <row r="892" spans="9:10">
      <c r="I892" s="78"/>
      <c r="J892" s="78"/>
    </row>
    <row r="893" spans="9:10">
      <c r="I893" s="78"/>
      <c r="J893" s="78"/>
    </row>
    <row r="894" spans="9:10">
      <c r="I894" s="78"/>
      <c r="J894" s="78"/>
    </row>
    <row r="895" spans="9:10">
      <c r="I895" s="78"/>
      <c r="J895" s="78"/>
    </row>
    <row r="896" spans="9:10">
      <c r="I896" s="78"/>
      <c r="J896" s="78"/>
    </row>
    <row r="897" spans="9:10">
      <c r="I897" s="78"/>
      <c r="J897" s="78"/>
    </row>
    <row r="898" spans="9:10">
      <c r="I898" s="78"/>
      <c r="J898" s="78"/>
    </row>
    <row r="899" spans="9:10">
      <c r="I899" s="78"/>
      <c r="J899" s="78"/>
    </row>
    <row r="900" spans="9:10">
      <c r="I900" s="78"/>
      <c r="J900" s="78"/>
    </row>
    <row r="901" spans="9:10">
      <c r="I901" s="78"/>
      <c r="J901" s="78"/>
    </row>
    <row r="902" spans="9:10">
      <c r="I902" s="78"/>
      <c r="J902" s="78"/>
    </row>
    <row r="903" spans="9:10">
      <c r="I903" s="78"/>
      <c r="J903" s="78"/>
    </row>
    <row r="904" spans="9:10">
      <c r="I904" s="78"/>
      <c r="J904" s="78"/>
    </row>
    <row r="905" spans="9:10">
      <c r="I905" s="78"/>
      <c r="J905" s="78"/>
    </row>
    <row r="906" spans="9:10">
      <c r="I906" s="78"/>
      <c r="J906" s="78"/>
    </row>
    <row r="907" spans="9:10">
      <c r="I907" s="78"/>
      <c r="J907" s="78"/>
    </row>
    <row r="908" spans="9:10">
      <c r="I908" s="78"/>
      <c r="J908" s="78"/>
    </row>
    <row r="909" spans="9:10">
      <c r="I909" s="78"/>
      <c r="J909" s="78"/>
    </row>
    <row r="910" spans="9:10">
      <c r="I910" s="78"/>
      <c r="J910" s="78"/>
    </row>
    <row r="911" spans="9:10">
      <c r="I911" s="78"/>
      <c r="J911" s="78"/>
    </row>
    <row r="912" spans="9:10">
      <c r="I912" s="78"/>
      <c r="J912" s="78"/>
    </row>
    <row r="913" spans="9:10">
      <c r="I913" s="78"/>
      <c r="J913" s="78"/>
    </row>
    <row r="914" spans="9:10">
      <c r="I914" s="78"/>
      <c r="J914" s="78"/>
    </row>
    <row r="915" spans="9:10">
      <c r="I915" s="78"/>
      <c r="J915" s="78"/>
    </row>
    <row r="916" spans="9:10">
      <c r="I916" s="78"/>
      <c r="J916" s="78"/>
    </row>
    <row r="917" spans="9:10">
      <c r="I917" s="78"/>
      <c r="J917" s="78"/>
    </row>
    <row r="918" spans="9:10">
      <c r="I918" s="78"/>
      <c r="J918" s="78"/>
    </row>
    <row r="919" spans="9:10">
      <c r="I919" s="78"/>
      <c r="J919" s="78"/>
    </row>
    <row r="920" spans="9:10">
      <c r="I920" s="78"/>
      <c r="J920" s="78"/>
    </row>
    <row r="921" spans="9:10">
      <c r="I921" s="78"/>
      <c r="J921" s="78"/>
    </row>
    <row r="922" spans="9:10">
      <c r="I922" s="78"/>
      <c r="J922" s="78"/>
    </row>
    <row r="923" spans="9:10">
      <c r="I923" s="78"/>
      <c r="J923" s="78"/>
    </row>
    <row r="924" spans="9:10">
      <c r="I924" s="78"/>
      <c r="J924" s="78"/>
    </row>
    <row r="925" spans="9:10">
      <c r="I925" s="78"/>
      <c r="J925" s="78"/>
    </row>
    <row r="926" spans="9:10">
      <c r="I926" s="78"/>
      <c r="J926" s="78"/>
    </row>
    <row r="927" spans="9:10">
      <c r="I927" s="78"/>
      <c r="J927" s="78"/>
    </row>
    <row r="928" spans="9:10">
      <c r="I928" s="78"/>
      <c r="J928" s="78"/>
    </row>
    <row r="929" spans="9:10">
      <c r="I929" s="78"/>
      <c r="J929" s="78"/>
    </row>
    <row r="930" spans="9:10">
      <c r="I930" s="78"/>
      <c r="J930" s="78"/>
    </row>
    <row r="931" spans="9:10">
      <c r="I931" s="78"/>
      <c r="J931" s="78"/>
    </row>
    <row r="932" spans="9:10">
      <c r="I932" s="78"/>
      <c r="J932" s="78"/>
    </row>
    <row r="933" spans="9:10">
      <c r="I933" s="78"/>
      <c r="J933" s="78"/>
    </row>
    <row r="934" spans="9:10">
      <c r="I934" s="78"/>
      <c r="J934" s="78"/>
    </row>
    <row r="935" spans="9:10">
      <c r="I935" s="78"/>
      <c r="J935" s="78"/>
    </row>
    <row r="936" spans="9:10">
      <c r="I936" s="78"/>
      <c r="J936" s="78"/>
    </row>
    <row r="937" spans="9:10">
      <c r="I937" s="78"/>
      <c r="J937" s="78"/>
    </row>
    <row r="938" spans="9:10">
      <c r="I938" s="78"/>
      <c r="J938" s="78"/>
    </row>
    <row r="939" spans="9:10">
      <c r="I939" s="78"/>
      <c r="J939" s="78"/>
    </row>
    <row r="940" spans="9:10">
      <c r="I940" s="78"/>
      <c r="J940" s="78"/>
    </row>
    <row r="941" spans="9:10">
      <c r="I941" s="78"/>
      <c r="J941" s="78"/>
    </row>
    <row r="942" spans="9:10">
      <c r="I942" s="78"/>
      <c r="J942" s="78"/>
    </row>
    <row r="943" spans="9:10">
      <c r="I943" s="78"/>
      <c r="J943" s="78"/>
    </row>
    <row r="944" spans="9:10">
      <c r="I944" s="78"/>
      <c r="J944" s="78"/>
    </row>
    <row r="945" spans="9:10">
      <c r="I945" s="78"/>
      <c r="J945" s="78"/>
    </row>
    <row r="946" spans="9:10">
      <c r="I946" s="78"/>
      <c r="J946" s="78"/>
    </row>
    <row r="947" spans="9:10">
      <c r="I947" s="78"/>
      <c r="J947" s="78"/>
    </row>
    <row r="948" spans="9:10">
      <c r="I948" s="78"/>
      <c r="J948" s="78"/>
    </row>
    <row r="949" spans="9:10">
      <c r="I949" s="78"/>
      <c r="J949" s="78"/>
    </row>
    <row r="950" spans="9:10">
      <c r="I950" s="78"/>
      <c r="J950" s="78"/>
    </row>
    <row r="951" spans="9:10">
      <c r="I951" s="78"/>
      <c r="J951" s="78"/>
    </row>
    <row r="952" spans="9:10">
      <c r="I952" s="78"/>
      <c r="J952" s="78"/>
    </row>
    <row r="953" spans="9:10">
      <c r="I953" s="78"/>
      <c r="J953" s="78"/>
    </row>
    <row r="954" spans="9:10">
      <c r="I954" s="78"/>
      <c r="J954" s="78"/>
    </row>
    <row r="955" spans="9:10">
      <c r="I955" s="78"/>
      <c r="J955" s="78"/>
    </row>
    <row r="956" spans="9:10">
      <c r="I956" s="78"/>
      <c r="J956" s="78"/>
    </row>
    <row r="957" spans="9:10">
      <c r="I957" s="78"/>
      <c r="J957" s="78"/>
    </row>
    <row r="958" spans="9:10">
      <c r="I958" s="78"/>
      <c r="J958" s="78"/>
    </row>
    <row r="959" spans="9:10">
      <c r="I959" s="78"/>
      <c r="J959" s="78"/>
    </row>
    <row r="960" spans="9:10">
      <c r="I960" s="78"/>
      <c r="J960" s="78"/>
    </row>
    <row r="961" spans="9:10">
      <c r="I961" s="78"/>
      <c r="J961" s="78"/>
    </row>
    <row r="962" spans="9:10">
      <c r="I962" s="78"/>
      <c r="J962" s="78"/>
    </row>
    <row r="963" spans="9:10">
      <c r="I963" s="78"/>
      <c r="J963" s="78"/>
    </row>
    <row r="964" spans="9:10">
      <c r="I964" s="78"/>
      <c r="J964" s="78"/>
    </row>
    <row r="965" spans="9:10">
      <c r="I965" s="78"/>
      <c r="J965" s="78"/>
    </row>
    <row r="966" spans="9:10">
      <c r="I966" s="78"/>
      <c r="J966" s="78"/>
    </row>
    <row r="967" spans="9:10">
      <c r="I967" s="78"/>
      <c r="J967" s="78"/>
    </row>
    <row r="968" spans="9:10">
      <c r="I968" s="78"/>
      <c r="J968" s="78"/>
    </row>
    <row r="969" spans="9:10">
      <c r="I969" s="78"/>
      <c r="J969" s="78"/>
    </row>
    <row r="970" spans="9:10">
      <c r="I970" s="78"/>
      <c r="J970" s="78"/>
    </row>
    <row r="971" spans="9:10">
      <c r="I971" s="78"/>
      <c r="J971" s="78"/>
    </row>
    <row r="972" spans="9:10">
      <c r="I972" s="78"/>
      <c r="J972" s="78"/>
    </row>
    <row r="973" spans="9:10">
      <c r="I973" s="78"/>
      <c r="J973" s="78"/>
    </row>
    <row r="974" spans="9:10">
      <c r="I974" s="78"/>
      <c r="J974" s="78"/>
    </row>
    <row r="975" spans="9:10">
      <c r="I975" s="78"/>
      <c r="J975" s="78"/>
    </row>
    <row r="976" spans="9:10">
      <c r="I976" s="78"/>
      <c r="J976" s="78"/>
    </row>
    <row r="977" spans="9:10">
      <c r="I977" s="78"/>
      <c r="J977" s="78"/>
    </row>
    <row r="978" spans="9:10">
      <c r="I978" s="78"/>
      <c r="J978" s="78"/>
    </row>
    <row r="979" spans="9:10">
      <c r="I979" s="78"/>
      <c r="J979" s="78"/>
    </row>
    <row r="980" spans="9:10">
      <c r="I980" s="78"/>
      <c r="J980" s="78"/>
    </row>
    <row r="981" spans="9:10">
      <c r="I981" s="78"/>
      <c r="J981" s="78"/>
    </row>
    <row r="982" spans="9:10">
      <c r="I982" s="78"/>
      <c r="J982" s="78"/>
    </row>
    <row r="983" spans="9:10">
      <c r="I983" s="78"/>
      <c r="J983" s="78"/>
    </row>
    <row r="984" spans="9:10">
      <c r="I984" s="78"/>
      <c r="J984" s="78"/>
    </row>
    <row r="985" spans="9:10">
      <c r="I985" s="78"/>
      <c r="J985" s="78"/>
    </row>
    <row r="986" spans="9:10">
      <c r="I986" s="78"/>
      <c r="J986" s="78"/>
    </row>
    <row r="987" spans="9:10">
      <c r="I987" s="78"/>
      <c r="J987" s="78"/>
    </row>
    <row r="988" spans="9:10">
      <c r="I988" s="78"/>
      <c r="J988" s="78"/>
    </row>
    <row r="989" spans="9:10">
      <c r="I989" s="78"/>
      <c r="J989" s="78"/>
    </row>
    <row r="990" spans="9:10">
      <c r="I990" s="78"/>
      <c r="J990" s="78"/>
    </row>
    <row r="991" spans="9:10">
      <c r="I991" s="78"/>
      <c r="J991" s="78"/>
    </row>
    <row r="992" spans="9:10">
      <c r="I992" s="78"/>
      <c r="J992" s="78"/>
    </row>
    <row r="993" spans="9:10">
      <c r="I993" s="78"/>
      <c r="J993" s="78"/>
    </row>
    <row r="994" spans="9:10">
      <c r="I994" s="78"/>
      <c r="J994" s="78"/>
    </row>
    <row r="995" spans="9:10">
      <c r="I995" s="78"/>
      <c r="J995" s="78"/>
    </row>
    <row r="996" spans="9:10">
      <c r="I996" s="78"/>
      <c r="J996" s="78"/>
    </row>
    <row r="997" spans="9:10">
      <c r="I997" s="78"/>
      <c r="J997" s="78"/>
    </row>
    <row r="998" spans="9:10">
      <c r="I998" s="78"/>
      <c r="J998" s="78"/>
    </row>
    <row r="999" spans="9:10">
      <c r="I999" s="78"/>
      <c r="J999" s="78"/>
    </row>
    <row r="1000" spans="9:10">
      <c r="I1000" s="78"/>
      <c r="J1000" s="78"/>
    </row>
  </sheetData>
  <autoFilter ref="A4:V36" xr:uid="{00000000-0001-0000-0000-000000000000}"/>
  <mergeCells count="10">
    <mergeCell ref="O3:P3"/>
    <mergeCell ref="Q3:S3"/>
    <mergeCell ref="T3:U3"/>
    <mergeCell ref="A36:F36"/>
    <mergeCell ref="A1:H1"/>
    <mergeCell ref="A2:G2"/>
    <mergeCell ref="A3:G3"/>
    <mergeCell ref="I3:J3"/>
    <mergeCell ref="K3:L3"/>
    <mergeCell ref="M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opLeftCell="J1" workbookViewId="0">
      <selection activeCell="V2" sqref="V2"/>
    </sheetView>
  </sheetViews>
  <sheetFormatPr defaultColWidth="14.44140625" defaultRowHeight="14.4"/>
  <cols>
    <col min="2" max="2" width="16.5546875" bestFit="1" customWidth="1"/>
    <col min="3" max="3" width="25" bestFit="1" customWidth="1"/>
    <col min="4" max="4" width="17.33203125" bestFit="1" customWidth="1"/>
    <col min="5" max="7" width="14.44140625" hidden="1" customWidth="1"/>
    <col min="8" max="8" width="0.109375" customWidth="1"/>
    <col min="11" max="16" width="14.44140625" style="46"/>
    <col min="20" max="20" width="14.44140625" style="60"/>
    <col min="21" max="21" width="14.44140625" style="61"/>
  </cols>
  <sheetData>
    <row r="1" spans="1:23" ht="15" customHeight="1">
      <c r="A1" s="87" t="s">
        <v>0</v>
      </c>
      <c r="B1" s="88"/>
      <c r="C1" s="88"/>
      <c r="D1" s="88"/>
      <c r="E1" s="88"/>
      <c r="F1" s="88"/>
      <c r="G1" s="88"/>
      <c r="H1" s="88"/>
      <c r="I1" s="1"/>
      <c r="J1" s="1"/>
      <c r="K1" s="2"/>
      <c r="L1" s="2"/>
      <c r="M1" s="2"/>
      <c r="N1" s="2"/>
      <c r="O1" s="2"/>
      <c r="P1" s="2"/>
      <c r="Q1" s="1"/>
      <c r="R1" s="1"/>
      <c r="S1" s="1"/>
      <c r="T1" s="58"/>
      <c r="U1" s="59"/>
      <c r="V1" s="1"/>
    </row>
    <row r="2" spans="1:23" ht="15.6">
      <c r="A2" s="89" t="s">
        <v>82</v>
      </c>
      <c r="B2" s="90"/>
      <c r="C2" s="90"/>
      <c r="D2" s="90"/>
      <c r="E2" s="90"/>
      <c r="F2" s="90"/>
      <c r="G2" s="91"/>
      <c r="H2" s="5"/>
      <c r="I2" s="6"/>
      <c r="J2" s="6"/>
      <c r="K2" s="7"/>
      <c r="L2" s="7"/>
      <c r="M2" s="7"/>
      <c r="N2" s="7"/>
      <c r="O2" s="7"/>
      <c r="P2" s="7"/>
      <c r="Q2" s="6"/>
      <c r="R2" s="6"/>
      <c r="S2" s="6"/>
      <c r="T2" s="58"/>
      <c r="U2" s="59"/>
      <c r="V2" s="1"/>
    </row>
    <row r="3" spans="1:23" ht="15.6">
      <c r="A3" s="92" t="s">
        <v>83</v>
      </c>
      <c r="B3" s="93"/>
      <c r="C3" s="93"/>
      <c r="D3" s="93"/>
      <c r="E3" s="93"/>
      <c r="F3" s="93"/>
      <c r="G3" s="94"/>
      <c r="H3" s="5"/>
      <c r="I3" s="81" t="s">
        <v>3</v>
      </c>
      <c r="J3" s="83"/>
      <c r="K3" s="79" t="s">
        <v>4</v>
      </c>
      <c r="L3" s="80"/>
      <c r="M3" s="79" t="s">
        <v>5</v>
      </c>
      <c r="N3" s="80"/>
      <c r="O3" s="79" t="s">
        <v>6</v>
      </c>
      <c r="P3" s="80"/>
      <c r="Q3" s="81" t="s">
        <v>7</v>
      </c>
      <c r="R3" s="82"/>
      <c r="S3" s="83"/>
      <c r="T3" s="81" t="s">
        <v>8</v>
      </c>
      <c r="U3" s="82"/>
      <c r="V3" s="1"/>
    </row>
    <row r="4" spans="1:23" s="14" customFormat="1" ht="15.6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9" t="s">
        <v>15</v>
      </c>
      <c r="H4" s="10"/>
      <c r="I4" s="51" t="s">
        <v>16</v>
      </c>
      <c r="J4" s="51" t="s">
        <v>17</v>
      </c>
      <c r="K4" s="52" t="s">
        <v>16</v>
      </c>
      <c r="L4" s="52" t="s">
        <v>17</v>
      </c>
      <c r="M4" s="52" t="s">
        <v>16</v>
      </c>
      <c r="N4" s="52" t="s">
        <v>17</v>
      </c>
      <c r="O4" s="52" t="s">
        <v>16</v>
      </c>
      <c r="P4" s="52" t="s">
        <v>17</v>
      </c>
      <c r="Q4" s="51" t="s">
        <v>16</v>
      </c>
      <c r="R4" s="51" t="s">
        <v>18</v>
      </c>
      <c r="S4" s="11" t="s">
        <v>17</v>
      </c>
      <c r="T4" s="12" t="s">
        <v>16</v>
      </c>
      <c r="U4" s="48" t="s">
        <v>18</v>
      </c>
      <c r="V4" s="13"/>
    </row>
    <row r="5" spans="1:23" ht="15" customHeight="1">
      <c r="A5" s="15">
        <v>1</v>
      </c>
      <c r="B5" s="16" t="s">
        <v>19</v>
      </c>
      <c r="C5" s="16" t="s">
        <v>20</v>
      </c>
      <c r="D5" s="17" t="s">
        <v>84</v>
      </c>
      <c r="E5" s="18">
        <v>14</v>
      </c>
      <c r="F5" s="18">
        <v>680</v>
      </c>
      <c r="G5" s="19">
        <v>57980</v>
      </c>
      <c r="H5" s="20"/>
      <c r="I5" s="55">
        <v>0</v>
      </c>
      <c r="J5" s="55">
        <v>0</v>
      </c>
      <c r="K5" s="55">
        <v>950</v>
      </c>
      <c r="L5" s="55">
        <v>10</v>
      </c>
      <c r="M5" s="55">
        <v>0</v>
      </c>
      <c r="N5" s="55">
        <v>0</v>
      </c>
      <c r="O5" s="55">
        <v>0</v>
      </c>
      <c r="P5" s="55">
        <v>0</v>
      </c>
      <c r="Q5" s="55">
        <f t="shared" ref="Q5:Q35" si="0">I5+K5+M5+O5</f>
        <v>950</v>
      </c>
      <c r="R5" s="56">
        <f>Q5-Q5*12/112</f>
        <v>848.21428571428567</v>
      </c>
      <c r="S5" s="50">
        <f t="shared" ref="S5:S35" si="1">J5+L5+N5+P5</f>
        <v>10</v>
      </c>
      <c r="T5" s="21">
        <v>339150</v>
      </c>
      <c r="U5" s="25">
        <v>287177.75</v>
      </c>
      <c r="V5" s="1">
        <f>T5+Q5</f>
        <v>340100</v>
      </c>
      <c r="W5" s="49">
        <f>U5+R5</f>
        <v>288025.96428571426</v>
      </c>
    </row>
    <row r="6" spans="1:23" ht="15" customHeight="1">
      <c r="A6" s="15">
        <v>2</v>
      </c>
      <c r="B6" s="16" t="s">
        <v>22</v>
      </c>
      <c r="C6" s="16" t="s">
        <v>23</v>
      </c>
      <c r="D6" s="17" t="s">
        <v>84</v>
      </c>
      <c r="E6" s="18">
        <v>14</v>
      </c>
      <c r="F6" s="18">
        <v>428</v>
      </c>
      <c r="G6" s="19">
        <v>57840</v>
      </c>
      <c r="H6" s="20"/>
      <c r="I6" s="55">
        <v>800</v>
      </c>
      <c r="J6" s="55">
        <v>12</v>
      </c>
      <c r="K6" s="55">
        <v>1450</v>
      </c>
      <c r="L6" s="55">
        <v>17</v>
      </c>
      <c r="M6" s="55">
        <v>0</v>
      </c>
      <c r="N6" s="55">
        <v>0</v>
      </c>
      <c r="O6" s="55">
        <v>0</v>
      </c>
      <c r="P6" s="55">
        <v>0</v>
      </c>
      <c r="Q6" s="55">
        <f t="shared" si="0"/>
        <v>2250</v>
      </c>
      <c r="R6" s="56">
        <f t="shared" ref="R6:R35" si="2">Q6-Q6*12/112</f>
        <v>2008.9285714285713</v>
      </c>
      <c r="S6" s="50">
        <f t="shared" si="1"/>
        <v>29</v>
      </c>
      <c r="T6" s="21">
        <v>274255</v>
      </c>
      <c r="U6" s="25">
        <v>230808.50000000003</v>
      </c>
      <c r="V6" s="1">
        <f t="shared" ref="V6:V35" si="3">T6+Q6</f>
        <v>276505</v>
      </c>
      <c r="W6" s="49">
        <f t="shared" ref="W6:W35" si="4">U6+R6</f>
        <v>232817.42857142861</v>
      </c>
    </row>
    <row r="7" spans="1:23" ht="15" customHeight="1">
      <c r="A7" s="15">
        <v>3</v>
      </c>
      <c r="B7" s="24" t="s">
        <v>24</v>
      </c>
      <c r="C7" s="16" t="s">
        <v>25</v>
      </c>
      <c r="D7" s="17" t="s">
        <v>84</v>
      </c>
      <c r="E7" s="18">
        <v>14</v>
      </c>
      <c r="F7" s="18">
        <v>452</v>
      </c>
      <c r="G7" s="19">
        <v>45200</v>
      </c>
      <c r="H7" s="20"/>
      <c r="I7" s="55">
        <v>1330</v>
      </c>
      <c r="J7" s="55">
        <v>14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5">
        <f t="shared" si="0"/>
        <v>1330</v>
      </c>
      <c r="R7" s="56">
        <f t="shared" si="2"/>
        <v>1187.5</v>
      </c>
      <c r="S7" s="50">
        <f t="shared" si="1"/>
        <v>14</v>
      </c>
      <c r="T7" s="21">
        <v>148720</v>
      </c>
      <c r="U7" s="25">
        <v>123038.28571428571</v>
      </c>
      <c r="V7" s="1">
        <f t="shared" si="3"/>
        <v>150050</v>
      </c>
      <c r="W7" s="49">
        <f t="shared" si="4"/>
        <v>124225.78571428571</v>
      </c>
    </row>
    <row r="8" spans="1:23" ht="15" customHeight="1">
      <c r="A8" s="15">
        <v>4</v>
      </c>
      <c r="B8" s="24" t="s">
        <v>26</v>
      </c>
      <c r="C8" s="16" t="s">
        <v>27</v>
      </c>
      <c r="D8" s="17" t="s">
        <v>37</v>
      </c>
      <c r="E8" s="16">
        <v>5</v>
      </c>
      <c r="F8" s="18">
        <v>764</v>
      </c>
      <c r="G8" s="19">
        <v>94330</v>
      </c>
      <c r="H8" s="20"/>
      <c r="I8" s="55">
        <v>1975</v>
      </c>
      <c r="J8" s="55">
        <v>15</v>
      </c>
      <c r="K8" s="55">
        <v>5040</v>
      </c>
      <c r="L8" s="55">
        <v>42</v>
      </c>
      <c r="M8" s="55">
        <v>5950</v>
      </c>
      <c r="N8" s="55">
        <v>50</v>
      </c>
      <c r="O8" s="55">
        <v>3350</v>
      </c>
      <c r="P8" s="55">
        <v>30</v>
      </c>
      <c r="Q8" s="55">
        <f t="shared" si="0"/>
        <v>16315</v>
      </c>
      <c r="R8" s="56">
        <f t="shared" si="2"/>
        <v>14566.964285714286</v>
      </c>
      <c r="S8" s="50">
        <f t="shared" si="1"/>
        <v>137</v>
      </c>
      <c r="T8" s="21">
        <v>418050</v>
      </c>
      <c r="U8" s="25">
        <v>359175.71428571438</v>
      </c>
      <c r="V8" s="1">
        <f t="shared" si="3"/>
        <v>434365</v>
      </c>
      <c r="W8" s="49">
        <f t="shared" si="4"/>
        <v>373742.67857142864</v>
      </c>
    </row>
    <row r="9" spans="1:23" ht="15" customHeight="1">
      <c r="A9" s="15">
        <v>5</v>
      </c>
      <c r="B9" s="24" t="s">
        <v>29</v>
      </c>
      <c r="C9" s="16" t="s">
        <v>30</v>
      </c>
      <c r="D9" s="17" t="s">
        <v>37</v>
      </c>
      <c r="E9" s="16">
        <v>5</v>
      </c>
      <c r="F9" s="18">
        <v>320</v>
      </c>
      <c r="G9" s="19">
        <v>46400</v>
      </c>
      <c r="H9" s="20"/>
      <c r="I9" s="55">
        <v>1995</v>
      </c>
      <c r="J9" s="55">
        <v>21</v>
      </c>
      <c r="K9" s="55">
        <v>1235</v>
      </c>
      <c r="L9" s="55">
        <v>13</v>
      </c>
      <c r="M9" s="55">
        <v>570</v>
      </c>
      <c r="N9" s="55">
        <v>6</v>
      </c>
      <c r="O9" s="55">
        <v>950</v>
      </c>
      <c r="P9" s="55">
        <v>10</v>
      </c>
      <c r="Q9" s="55">
        <f t="shared" si="0"/>
        <v>4750</v>
      </c>
      <c r="R9" s="56">
        <f t="shared" si="2"/>
        <v>4241.0714285714284</v>
      </c>
      <c r="S9" s="50">
        <f t="shared" si="1"/>
        <v>50</v>
      </c>
      <c r="T9" s="21">
        <v>123699</v>
      </c>
      <c r="U9" s="25">
        <v>112861.7857142857</v>
      </c>
      <c r="V9" s="1">
        <f t="shared" si="3"/>
        <v>128449</v>
      </c>
      <c r="W9" s="49">
        <f t="shared" si="4"/>
        <v>117102.85714285713</v>
      </c>
    </row>
    <row r="10" spans="1:23" ht="15" customHeight="1">
      <c r="A10" s="15">
        <v>6</v>
      </c>
      <c r="B10" s="26" t="s">
        <v>31</v>
      </c>
      <c r="C10" s="16" t="s">
        <v>32</v>
      </c>
      <c r="D10" s="17" t="s">
        <v>37</v>
      </c>
      <c r="E10" s="16">
        <v>5</v>
      </c>
      <c r="F10" s="18">
        <v>410</v>
      </c>
      <c r="G10" s="19">
        <v>60270</v>
      </c>
      <c r="H10" s="20"/>
      <c r="I10" s="55">
        <v>0</v>
      </c>
      <c r="J10" s="55">
        <v>0</v>
      </c>
      <c r="K10" s="55">
        <v>582</v>
      </c>
      <c r="L10" s="55">
        <v>6</v>
      </c>
      <c r="M10" s="55">
        <v>0</v>
      </c>
      <c r="N10" s="55">
        <v>0</v>
      </c>
      <c r="O10" s="55">
        <v>0</v>
      </c>
      <c r="P10" s="55">
        <v>0</v>
      </c>
      <c r="Q10" s="55">
        <f t="shared" si="0"/>
        <v>582</v>
      </c>
      <c r="R10" s="56">
        <f t="shared" si="2"/>
        <v>519.64285714285711</v>
      </c>
      <c r="S10" s="50">
        <f t="shared" si="1"/>
        <v>6</v>
      </c>
      <c r="T10" s="21">
        <v>114293</v>
      </c>
      <c r="U10" s="25">
        <v>96545.321428571435</v>
      </c>
      <c r="V10" s="1">
        <f t="shared" si="3"/>
        <v>114875</v>
      </c>
      <c r="W10" s="49">
        <f t="shared" si="4"/>
        <v>97064.96428571429</v>
      </c>
    </row>
    <row r="11" spans="1:23" ht="15" customHeight="1">
      <c r="A11" s="15">
        <v>7</v>
      </c>
      <c r="B11" s="24" t="s">
        <v>34</v>
      </c>
      <c r="C11" s="16" t="s">
        <v>35</v>
      </c>
      <c r="D11" s="17" t="s">
        <v>37</v>
      </c>
      <c r="E11" s="16">
        <v>5</v>
      </c>
      <c r="F11" s="18">
        <v>414</v>
      </c>
      <c r="G11" s="19">
        <v>49630</v>
      </c>
      <c r="H11" s="20"/>
      <c r="I11" s="55">
        <v>1545</v>
      </c>
      <c r="J11" s="55">
        <v>17</v>
      </c>
      <c r="K11" s="55">
        <v>2145</v>
      </c>
      <c r="L11" s="55">
        <v>21</v>
      </c>
      <c r="M11" s="55">
        <v>1470</v>
      </c>
      <c r="N11" s="55">
        <v>14</v>
      </c>
      <c r="O11" s="55">
        <v>1260</v>
      </c>
      <c r="P11" s="55">
        <v>12</v>
      </c>
      <c r="Q11" s="55">
        <f t="shared" si="0"/>
        <v>6420</v>
      </c>
      <c r="R11" s="56">
        <f t="shared" si="2"/>
        <v>5732.1428571428569</v>
      </c>
      <c r="S11" s="50">
        <f t="shared" si="1"/>
        <v>64</v>
      </c>
      <c r="T11" s="21">
        <v>227560</v>
      </c>
      <c r="U11" s="25">
        <v>194404.71428571432</v>
      </c>
      <c r="V11" s="1">
        <f t="shared" si="3"/>
        <v>233980</v>
      </c>
      <c r="W11" s="49">
        <f t="shared" si="4"/>
        <v>200136.85714285719</v>
      </c>
    </row>
    <row r="12" spans="1:23" ht="15" customHeight="1">
      <c r="A12" s="15">
        <v>8</v>
      </c>
      <c r="B12" s="24" t="s">
        <v>24</v>
      </c>
      <c r="C12" s="16" t="s">
        <v>36</v>
      </c>
      <c r="D12" s="17" t="s">
        <v>37</v>
      </c>
      <c r="E12" s="16">
        <v>5</v>
      </c>
      <c r="F12" s="18">
        <v>312</v>
      </c>
      <c r="G12" s="19">
        <v>45240</v>
      </c>
      <c r="H12" s="20"/>
      <c r="I12" s="55">
        <v>1805</v>
      </c>
      <c r="J12" s="55">
        <v>19</v>
      </c>
      <c r="K12" s="55">
        <v>2470</v>
      </c>
      <c r="L12" s="55">
        <v>26</v>
      </c>
      <c r="M12" s="55">
        <v>1045</v>
      </c>
      <c r="N12" s="55">
        <v>11</v>
      </c>
      <c r="O12" s="55">
        <v>0</v>
      </c>
      <c r="P12" s="55">
        <v>0</v>
      </c>
      <c r="Q12" s="55">
        <f t="shared" si="0"/>
        <v>5320</v>
      </c>
      <c r="R12" s="56">
        <f t="shared" si="2"/>
        <v>4750</v>
      </c>
      <c r="S12" s="50">
        <f t="shared" si="1"/>
        <v>56</v>
      </c>
      <c r="T12" s="21">
        <v>162640</v>
      </c>
      <c r="U12" s="25">
        <v>139376.03571428574</v>
      </c>
      <c r="V12" s="1">
        <f t="shared" si="3"/>
        <v>167960</v>
      </c>
      <c r="W12" s="49">
        <f t="shared" si="4"/>
        <v>144126.03571428574</v>
      </c>
    </row>
    <row r="13" spans="1:23" ht="15" customHeight="1">
      <c r="A13" s="15">
        <v>9</v>
      </c>
      <c r="B13" s="24" t="s">
        <v>38</v>
      </c>
      <c r="C13" s="16" t="s">
        <v>39</v>
      </c>
      <c r="D13" s="17" t="s">
        <v>37</v>
      </c>
      <c r="E13" s="16">
        <v>5</v>
      </c>
      <c r="F13" s="18">
        <v>310</v>
      </c>
      <c r="G13" s="19">
        <v>44950</v>
      </c>
      <c r="H13" s="20"/>
      <c r="I13" s="55">
        <v>1305</v>
      </c>
      <c r="J13" s="55">
        <v>9</v>
      </c>
      <c r="K13" s="55">
        <v>1740</v>
      </c>
      <c r="L13" s="55">
        <v>12</v>
      </c>
      <c r="M13" s="55">
        <v>1450</v>
      </c>
      <c r="N13" s="55">
        <v>0</v>
      </c>
      <c r="O13" s="55">
        <v>870</v>
      </c>
      <c r="P13" s="55">
        <v>6</v>
      </c>
      <c r="Q13" s="55">
        <f t="shared" si="0"/>
        <v>5365</v>
      </c>
      <c r="R13" s="56">
        <f t="shared" si="2"/>
        <v>4790.1785714285716</v>
      </c>
      <c r="S13" s="50">
        <f t="shared" si="1"/>
        <v>27</v>
      </c>
      <c r="T13" s="21">
        <v>172260</v>
      </c>
      <c r="U13" s="25">
        <v>146404.57142857142</v>
      </c>
      <c r="V13" s="1">
        <f t="shared" si="3"/>
        <v>177625</v>
      </c>
      <c r="W13" s="49">
        <f t="shared" si="4"/>
        <v>151194.75</v>
      </c>
    </row>
    <row r="14" spans="1:23" s="37" customFormat="1" ht="15" customHeight="1">
      <c r="A14" s="27">
        <v>10</v>
      </c>
      <c r="B14" s="24" t="s">
        <v>40</v>
      </c>
      <c r="C14" s="28" t="s">
        <v>41</v>
      </c>
      <c r="D14" s="29" t="s">
        <v>37</v>
      </c>
      <c r="E14" s="16">
        <v>5</v>
      </c>
      <c r="F14" s="30">
        <v>458</v>
      </c>
      <c r="G14" s="31">
        <v>43510</v>
      </c>
      <c r="H14" s="32"/>
      <c r="I14" s="57">
        <v>1235</v>
      </c>
      <c r="J14" s="57">
        <v>13</v>
      </c>
      <c r="K14" s="57">
        <v>1710</v>
      </c>
      <c r="L14" s="57">
        <v>18</v>
      </c>
      <c r="M14" s="57">
        <v>0</v>
      </c>
      <c r="N14" s="57">
        <v>0</v>
      </c>
      <c r="O14" s="57"/>
      <c r="P14" s="57"/>
      <c r="Q14" s="55">
        <f t="shared" si="0"/>
        <v>2945</v>
      </c>
      <c r="R14" s="56">
        <f t="shared" si="2"/>
        <v>2629.4642857142858</v>
      </c>
      <c r="S14" s="50">
        <f t="shared" si="1"/>
        <v>31</v>
      </c>
      <c r="T14" s="21">
        <v>136372</v>
      </c>
      <c r="U14" s="25">
        <v>126927.14285714284</v>
      </c>
      <c r="V14" s="1">
        <f t="shared" si="3"/>
        <v>139317</v>
      </c>
      <c r="W14" s="49">
        <f t="shared" si="4"/>
        <v>129556.60714285713</v>
      </c>
    </row>
    <row r="15" spans="1:23" s="37" customFormat="1" ht="15" customHeight="1">
      <c r="A15" s="27">
        <v>11</v>
      </c>
      <c r="B15" s="24" t="s">
        <v>42</v>
      </c>
      <c r="C15" s="28" t="s">
        <v>43</v>
      </c>
      <c r="D15" s="29" t="s">
        <v>37</v>
      </c>
      <c r="E15" s="16">
        <v>5</v>
      </c>
      <c r="F15" s="30">
        <v>580</v>
      </c>
      <c r="G15" s="31">
        <v>55100</v>
      </c>
      <c r="H15" s="32"/>
      <c r="I15" s="57">
        <v>0</v>
      </c>
      <c r="J15" s="57">
        <v>0</v>
      </c>
      <c r="K15" s="57">
        <v>0</v>
      </c>
      <c r="L15" s="57">
        <v>0</v>
      </c>
      <c r="M15" s="57">
        <v>0</v>
      </c>
      <c r="N15" s="57">
        <v>0</v>
      </c>
      <c r="O15" s="57"/>
      <c r="P15" s="57"/>
      <c r="Q15" s="55">
        <f t="shared" si="0"/>
        <v>0</v>
      </c>
      <c r="R15" s="56">
        <f t="shared" si="2"/>
        <v>0</v>
      </c>
      <c r="S15" s="50">
        <f t="shared" si="1"/>
        <v>0</v>
      </c>
      <c r="T15" s="21">
        <v>25451</v>
      </c>
      <c r="U15" s="25">
        <v>24598.285714285714</v>
      </c>
      <c r="V15" s="1">
        <f t="shared" si="3"/>
        <v>25451</v>
      </c>
      <c r="W15" s="49">
        <f t="shared" si="4"/>
        <v>24598.285714285714</v>
      </c>
    </row>
    <row r="16" spans="1:23" s="37" customFormat="1" ht="15" customHeight="1">
      <c r="A16" s="27">
        <v>12</v>
      </c>
      <c r="B16" s="24" t="s">
        <v>44</v>
      </c>
      <c r="C16" s="28" t="s">
        <v>45</v>
      </c>
      <c r="D16" s="29" t="s">
        <v>37</v>
      </c>
      <c r="E16" s="16">
        <v>5</v>
      </c>
      <c r="F16" s="30">
        <v>311</v>
      </c>
      <c r="G16" s="31">
        <v>29545</v>
      </c>
      <c r="H16" s="32"/>
      <c r="I16" s="57">
        <v>0</v>
      </c>
      <c r="J16" s="57">
        <v>0</v>
      </c>
      <c r="K16" s="57">
        <v>1800</v>
      </c>
      <c r="L16" s="57">
        <v>18</v>
      </c>
      <c r="M16" s="57">
        <v>0</v>
      </c>
      <c r="N16" s="57">
        <v>0</v>
      </c>
      <c r="O16" s="57">
        <v>0</v>
      </c>
      <c r="P16" s="57">
        <v>0</v>
      </c>
      <c r="Q16" s="55">
        <f t="shared" si="0"/>
        <v>1800</v>
      </c>
      <c r="R16" s="56">
        <f t="shared" si="2"/>
        <v>1607.1428571428571</v>
      </c>
      <c r="S16" s="50">
        <f t="shared" si="1"/>
        <v>18</v>
      </c>
      <c r="T16" s="21">
        <v>145841</v>
      </c>
      <c r="U16" s="25">
        <v>136161</v>
      </c>
      <c r="V16" s="1">
        <f t="shared" si="3"/>
        <v>147641</v>
      </c>
      <c r="W16" s="49">
        <f t="shared" si="4"/>
        <v>137768.14285714287</v>
      </c>
    </row>
    <row r="17" spans="1:23" s="37" customFormat="1" ht="15" customHeight="1">
      <c r="A17" s="27">
        <v>13</v>
      </c>
      <c r="B17" s="24" t="s">
        <v>46</v>
      </c>
      <c r="C17" s="28" t="s">
        <v>47</v>
      </c>
      <c r="D17" s="29" t="s">
        <v>37</v>
      </c>
      <c r="E17" s="16">
        <v>5</v>
      </c>
      <c r="F17" s="30">
        <v>302</v>
      </c>
      <c r="G17" s="31">
        <v>28550</v>
      </c>
      <c r="H17" s="32"/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7">
        <v>570</v>
      </c>
      <c r="P17" s="57">
        <v>6</v>
      </c>
      <c r="Q17" s="55">
        <f t="shared" si="0"/>
        <v>570</v>
      </c>
      <c r="R17" s="56">
        <f t="shared" si="2"/>
        <v>508.92857142857144</v>
      </c>
      <c r="S17" s="50">
        <f t="shared" si="1"/>
        <v>6</v>
      </c>
      <c r="T17" s="21">
        <v>89178</v>
      </c>
      <c r="U17" s="25">
        <v>76081.428571428565</v>
      </c>
      <c r="V17" s="1">
        <f t="shared" si="3"/>
        <v>89748</v>
      </c>
      <c r="W17" s="49">
        <f t="shared" si="4"/>
        <v>76590.35714285713</v>
      </c>
    </row>
    <row r="18" spans="1:23" s="37" customFormat="1" ht="15" customHeight="1">
      <c r="A18" s="27">
        <v>14</v>
      </c>
      <c r="B18" s="24" t="s">
        <v>48</v>
      </c>
      <c r="C18" s="28" t="s">
        <v>49</v>
      </c>
      <c r="D18" s="29" t="s">
        <v>37</v>
      </c>
      <c r="E18" s="16">
        <v>5</v>
      </c>
      <c r="F18" s="30">
        <v>847</v>
      </c>
      <c r="G18" s="31">
        <v>94415</v>
      </c>
      <c r="H18" s="32"/>
      <c r="I18" s="57">
        <v>2100</v>
      </c>
      <c r="J18" s="57">
        <v>20</v>
      </c>
      <c r="K18" s="57"/>
      <c r="L18" s="57"/>
      <c r="M18" s="57">
        <v>2795</v>
      </c>
      <c r="N18" s="57">
        <v>21</v>
      </c>
      <c r="O18" s="57">
        <v>0</v>
      </c>
      <c r="P18" s="57">
        <v>0</v>
      </c>
      <c r="Q18" s="55">
        <f t="shared" si="0"/>
        <v>4895</v>
      </c>
      <c r="R18" s="56">
        <f t="shared" si="2"/>
        <v>4370.5357142857147</v>
      </c>
      <c r="S18" s="50">
        <f t="shared" si="1"/>
        <v>41</v>
      </c>
      <c r="T18" s="21">
        <v>512435</v>
      </c>
      <c r="U18" s="25">
        <v>445050.89285714284</v>
      </c>
      <c r="V18" s="1">
        <f t="shared" si="3"/>
        <v>517330</v>
      </c>
      <c r="W18" s="49">
        <f t="shared" si="4"/>
        <v>449421.42857142858</v>
      </c>
    </row>
    <row r="19" spans="1:23" s="37" customFormat="1" ht="15" customHeight="1">
      <c r="A19" s="27">
        <v>15</v>
      </c>
      <c r="B19" s="28" t="s">
        <v>50</v>
      </c>
      <c r="C19" s="28" t="s">
        <v>51</v>
      </c>
      <c r="D19" s="29" t="s">
        <v>37</v>
      </c>
      <c r="E19" s="16">
        <v>5</v>
      </c>
      <c r="F19" s="30">
        <v>275</v>
      </c>
      <c r="G19" s="31">
        <v>28875</v>
      </c>
      <c r="H19" s="32"/>
      <c r="I19" s="57">
        <v>1575</v>
      </c>
      <c r="J19" s="57">
        <v>15</v>
      </c>
      <c r="K19" s="57">
        <v>1365</v>
      </c>
      <c r="L19" s="57">
        <v>13</v>
      </c>
      <c r="M19" s="57">
        <v>525</v>
      </c>
      <c r="N19" s="57">
        <v>5</v>
      </c>
      <c r="O19" s="57">
        <v>525</v>
      </c>
      <c r="P19" s="57">
        <v>5</v>
      </c>
      <c r="Q19" s="55">
        <f t="shared" si="0"/>
        <v>3990</v>
      </c>
      <c r="R19" s="56">
        <f t="shared" si="2"/>
        <v>3562.5</v>
      </c>
      <c r="S19" s="50">
        <f t="shared" si="1"/>
        <v>38</v>
      </c>
      <c r="T19" s="21">
        <v>110795</v>
      </c>
      <c r="U19" s="25">
        <v>98274.32142857142</v>
      </c>
      <c r="V19" s="1">
        <f t="shared" si="3"/>
        <v>114785</v>
      </c>
      <c r="W19" s="49">
        <f t="shared" si="4"/>
        <v>101836.82142857142</v>
      </c>
    </row>
    <row r="20" spans="1:23" s="37" customFormat="1" ht="15" customHeight="1">
      <c r="A20" s="27">
        <v>16</v>
      </c>
      <c r="B20" s="28" t="s">
        <v>53</v>
      </c>
      <c r="C20" s="28" t="s">
        <v>32</v>
      </c>
      <c r="D20" s="29" t="s">
        <v>37</v>
      </c>
      <c r="E20" s="16">
        <v>5</v>
      </c>
      <c r="F20" s="30">
        <v>550</v>
      </c>
      <c r="G20" s="31">
        <v>63750</v>
      </c>
      <c r="H20" s="32"/>
      <c r="I20" s="57">
        <v>1260</v>
      </c>
      <c r="J20" s="57">
        <v>12</v>
      </c>
      <c r="K20" s="57">
        <v>630</v>
      </c>
      <c r="L20" s="57">
        <v>6</v>
      </c>
      <c r="M20" s="57">
        <v>945</v>
      </c>
      <c r="N20" s="57">
        <v>9</v>
      </c>
      <c r="O20" s="57">
        <v>1785</v>
      </c>
      <c r="P20" s="57">
        <v>17</v>
      </c>
      <c r="Q20" s="55">
        <f t="shared" si="0"/>
        <v>4620</v>
      </c>
      <c r="R20" s="56">
        <f t="shared" si="2"/>
        <v>4125</v>
      </c>
      <c r="S20" s="50">
        <f t="shared" si="1"/>
        <v>44</v>
      </c>
      <c r="T20" s="21">
        <v>157090</v>
      </c>
      <c r="U20" s="25">
        <v>134163.57142857142</v>
      </c>
      <c r="V20" s="1">
        <f t="shared" si="3"/>
        <v>161710</v>
      </c>
      <c r="W20" s="49">
        <f t="shared" si="4"/>
        <v>138288.57142857142</v>
      </c>
    </row>
    <row r="21" spans="1:23" s="37" customFormat="1" ht="15" customHeight="1">
      <c r="A21" s="27">
        <v>17</v>
      </c>
      <c r="B21" s="28" t="s">
        <v>54</v>
      </c>
      <c r="C21" s="28" t="s">
        <v>55</v>
      </c>
      <c r="D21" s="29" t="s">
        <v>37</v>
      </c>
      <c r="E21" s="16">
        <v>5</v>
      </c>
      <c r="F21" s="30">
        <v>570</v>
      </c>
      <c r="G21" s="31">
        <v>26250</v>
      </c>
      <c r="H21" s="32"/>
      <c r="I21" s="57">
        <v>1470</v>
      </c>
      <c r="J21" s="57">
        <v>14</v>
      </c>
      <c r="K21" s="57">
        <v>0</v>
      </c>
      <c r="L21" s="57">
        <v>0</v>
      </c>
      <c r="M21" s="57">
        <v>735</v>
      </c>
      <c r="N21" s="57">
        <v>7</v>
      </c>
      <c r="O21" s="57">
        <v>0</v>
      </c>
      <c r="P21" s="57">
        <v>0</v>
      </c>
      <c r="Q21" s="55">
        <f t="shared" si="0"/>
        <v>2205</v>
      </c>
      <c r="R21" s="56">
        <f t="shared" si="2"/>
        <v>1968.75</v>
      </c>
      <c r="S21" s="50">
        <f t="shared" si="1"/>
        <v>21</v>
      </c>
      <c r="T21" s="21">
        <v>21386</v>
      </c>
      <c r="U21" s="25">
        <v>19601.25</v>
      </c>
      <c r="V21" s="1">
        <f t="shared" si="3"/>
        <v>23591</v>
      </c>
      <c r="W21" s="49">
        <f t="shared" si="4"/>
        <v>21570</v>
      </c>
    </row>
    <row r="22" spans="1:23" s="37" customFormat="1" ht="15" customHeight="1">
      <c r="A22" s="27">
        <v>18</v>
      </c>
      <c r="B22" s="28" t="s">
        <v>56</v>
      </c>
      <c r="C22" s="28" t="s">
        <v>57</v>
      </c>
      <c r="D22" s="29" t="s">
        <v>37</v>
      </c>
      <c r="E22" s="16">
        <v>5</v>
      </c>
      <c r="F22" s="30">
        <v>400</v>
      </c>
      <c r="G22" s="31">
        <v>38000</v>
      </c>
      <c r="H22" s="32"/>
      <c r="I22" s="57">
        <v>0</v>
      </c>
      <c r="J22" s="57">
        <v>0</v>
      </c>
      <c r="K22" s="57"/>
      <c r="L22" s="57"/>
      <c r="M22" s="57">
        <v>0</v>
      </c>
      <c r="N22" s="57">
        <v>0</v>
      </c>
      <c r="O22" s="57">
        <v>0</v>
      </c>
      <c r="P22" s="57">
        <v>0</v>
      </c>
      <c r="Q22" s="55">
        <f t="shared" si="0"/>
        <v>0</v>
      </c>
      <c r="R22" s="56">
        <f t="shared" si="2"/>
        <v>0</v>
      </c>
      <c r="S22" s="50">
        <f t="shared" si="1"/>
        <v>0</v>
      </c>
      <c r="T22" s="21">
        <v>47822</v>
      </c>
      <c r="U22" s="25">
        <v>41411.785714285717</v>
      </c>
      <c r="V22" s="1">
        <f t="shared" si="3"/>
        <v>47822</v>
      </c>
      <c r="W22" s="49">
        <f t="shared" si="4"/>
        <v>41411.785714285717</v>
      </c>
    </row>
    <row r="23" spans="1:23" s="37" customFormat="1" ht="15" customHeight="1">
      <c r="A23" s="27">
        <v>19</v>
      </c>
      <c r="B23" s="28" t="s">
        <v>58</v>
      </c>
      <c r="C23" s="28" t="s">
        <v>57</v>
      </c>
      <c r="D23" s="29" t="s">
        <v>37</v>
      </c>
      <c r="E23" s="16">
        <v>5</v>
      </c>
      <c r="F23" s="30">
        <v>180</v>
      </c>
      <c r="G23" s="31">
        <v>17100</v>
      </c>
      <c r="H23" s="32"/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7">
        <v>0</v>
      </c>
      <c r="Q23" s="55">
        <f t="shared" si="0"/>
        <v>0</v>
      </c>
      <c r="R23" s="56">
        <f t="shared" si="2"/>
        <v>0</v>
      </c>
      <c r="S23" s="50">
        <f t="shared" si="1"/>
        <v>0</v>
      </c>
      <c r="T23" s="21">
        <v>26505</v>
      </c>
      <c r="U23" s="25">
        <v>22664</v>
      </c>
      <c r="V23" s="1">
        <f t="shared" si="3"/>
        <v>26505</v>
      </c>
      <c r="W23" s="49">
        <f t="shared" si="4"/>
        <v>22664</v>
      </c>
    </row>
    <row r="24" spans="1:23" s="37" customFormat="1" ht="15" customHeight="1">
      <c r="A24" s="27">
        <v>20</v>
      </c>
      <c r="B24" s="28" t="s">
        <v>59</v>
      </c>
      <c r="C24" s="28" t="s">
        <v>60</v>
      </c>
      <c r="D24" s="29" t="s">
        <v>37</v>
      </c>
      <c r="E24" s="16">
        <v>5</v>
      </c>
      <c r="F24" s="30">
        <v>400</v>
      </c>
      <c r="G24" s="31">
        <v>38000</v>
      </c>
      <c r="H24" s="32"/>
      <c r="I24" s="57">
        <v>900</v>
      </c>
      <c r="J24" s="57">
        <v>9</v>
      </c>
      <c r="K24" s="57">
        <v>700</v>
      </c>
      <c r="L24" s="57">
        <v>7</v>
      </c>
      <c r="M24" s="57">
        <v>0</v>
      </c>
      <c r="N24" s="57">
        <v>0</v>
      </c>
      <c r="O24" s="57">
        <v>0</v>
      </c>
      <c r="P24" s="57">
        <v>0</v>
      </c>
      <c r="Q24" s="55">
        <f t="shared" si="0"/>
        <v>1600</v>
      </c>
      <c r="R24" s="56">
        <f t="shared" si="2"/>
        <v>1428.5714285714287</v>
      </c>
      <c r="S24" s="50">
        <f t="shared" si="1"/>
        <v>16</v>
      </c>
      <c r="T24" s="21">
        <v>114286</v>
      </c>
      <c r="U24" s="25">
        <v>108766.57142857143</v>
      </c>
      <c r="V24" s="1">
        <f t="shared" si="3"/>
        <v>115886</v>
      </c>
      <c r="W24" s="49">
        <f t="shared" si="4"/>
        <v>110195.14285714287</v>
      </c>
    </row>
    <row r="25" spans="1:23" s="37" customFormat="1" ht="15" customHeight="1">
      <c r="A25" s="27">
        <v>21</v>
      </c>
      <c r="B25" s="28" t="s">
        <v>61</v>
      </c>
      <c r="C25" s="28" t="s">
        <v>62</v>
      </c>
      <c r="D25" s="29" t="s">
        <v>37</v>
      </c>
      <c r="E25" s="16">
        <v>5</v>
      </c>
      <c r="F25" s="30">
        <v>370</v>
      </c>
      <c r="G25" s="31">
        <v>28750</v>
      </c>
      <c r="H25" s="32"/>
      <c r="I25" s="57">
        <v>300</v>
      </c>
      <c r="J25" s="57">
        <v>3</v>
      </c>
      <c r="K25" s="57">
        <v>300</v>
      </c>
      <c r="L25" s="57">
        <v>3</v>
      </c>
      <c r="M25" s="57">
        <v>0</v>
      </c>
      <c r="N25" s="57">
        <v>0</v>
      </c>
      <c r="O25" s="57">
        <v>0</v>
      </c>
      <c r="P25" s="57">
        <v>0</v>
      </c>
      <c r="Q25" s="55">
        <f t="shared" si="0"/>
        <v>600</v>
      </c>
      <c r="R25" s="56">
        <f t="shared" si="2"/>
        <v>535.71428571428567</v>
      </c>
      <c r="S25" s="50">
        <f t="shared" si="1"/>
        <v>6</v>
      </c>
      <c r="T25" s="21">
        <v>30893</v>
      </c>
      <c r="U25" s="25">
        <v>27074.285714285714</v>
      </c>
      <c r="V25" s="1">
        <f t="shared" si="3"/>
        <v>31493</v>
      </c>
      <c r="W25" s="49">
        <f t="shared" si="4"/>
        <v>27610</v>
      </c>
    </row>
    <row r="26" spans="1:23" s="37" customFormat="1" ht="15" customHeight="1">
      <c r="A26" s="27">
        <v>22</v>
      </c>
      <c r="B26" s="28" t="s">
        <v>63</v>
      </c>
      <c r="C26" s="28" t="s">
        <v>57</v>
      </c>
      <c r="D26" s="29" t="s">
        <v>37</v>
      </c>
      <c r="E26" s="16">
        <v>5</v>
      </c>
      <c r="F26" s="30">
        <v>664</v>
      </c>
      <c r="G26" s="31">
        <v>21088</v>
      </c>
      <c r="H26" s="32"/>
      <c r="I26" s="57">
        <v>920</v>
      </c>
      <c r="J26" s="57">
        <v>8</v>
      </c>
      <c r="K26" s="57">
        <v>0</v>
      </c>
      <c r="L26" s="57">
        <v>0</v>
      </c>
      <c r="M26" s="57">
        <v>0</v>
      </c>
      <c r="N26" s="57">
        <v>0</v>
      </c>
      <c r="O26" s="57">
        <v>0</v>
      </c>
      <c r="P26" s="57">
        <v>0</v>
      </c>
      <c r="Q26" s="55">
        <f t="shared" si="0"/>
        <v>920</v>
      </c>
      <c r="R26" s="56">
        <f t="shared" si="2"/>
        <v>821.42857142857144</v>
      </c>
      <c r="S26" s="50">
        <f t="shared" si="1"/>
        <v>8</v>
      </c>
      <c r="T26" s="21">
        <v>72195</v>
      </c>
      <c r="U26" s="25">
        <v>61129.464285714283</v>
      </c>
      <c r="V26" s="1">
        <f t="shared" si="3"/>
        <v>73115</v>
      </c>
      <c r="W26" s="49">
        <f t="shared" si="4"/>
        <v>61950.892857142855</v>
      </c>
    </row>
    <row r="27" spans="1:23" s="37" customFormat="1" ht="17.399999999999999">
      <c r="A27" s="27">
        <v>23</v>
      </c>
      <c r="B27" s="24" t="s">
        <v>64</v>
      </c>
      <c r="C27" s="28" t="s">
        <v>85</v>
      </c>
      <c r="D27" s="29" t="s">
        <v>37</v>
      </c>
      <c r="E27" s="16">
        <v>5</v>
      </c>
      <c r="F27" s="30">
        <v>525</v>
      </c>
      <c r="G27" s="31">
        <v>42975</v>
      </c>
      <c r="H27" s="32"/>
      <c r="I27" s="57">
        <v>810</v>
      </c>
      <c r="J27" s="57">
        <v>8</v>
      </c>
      <c r="K27" s="57">
        <v>1385</v>
      </c>
      <c r="L27" s="57">
        <v>13</v>
      </c>
      <c r="M27" s="57">
        <v>670</v>
      </c>
      <c r="N27" s="57">
        <v>6</v>
      </c>
      <c r="O27" s="57">
        <v>1105</v>
      </c>
      <c r="P27" s="57">
        <v>9</v>
      </c>
      <c r="Q27" s="55">
        <f t="shared" si="0"/>
        <v>3970</v>
      </c>
      <c r="R27" s="56">
        <f t="shared" si="2"/>
        <v>3544.6428571428573</v>
      </c>
      <c r="S27" s="50">
        <f t="shared" si="1"/>
        <v>36</v>
      </c>
      <c r="T27" s="21">
        <v>191915</v>
      </c>
      <c r="U27" s="25">
        <v>165897.78571428574</v>
      </c>
      <c r="V27" s="1">
        <f t="shared" si="3"/>
        <v>195885</v>
      </c>
      <c r="W27" s="49">
        <f t="shared" si="4"/>
        <v>169442.42857142861</v>
      </c>
    </row>
    <row r="28" spans="1:23" s="37" customFormat="1" ht="17.399999999999999">
      <c r="A28" s="27">
        <v>24</v>
      </c>
      <c r="B28" s="24" t="s">
        <v>66</v>
      </c>
      <c r="C28" s="28" t="s">
        <v>47</v>
      </c>
      <c r="D28" s="29" t="s">
        <v>37</v>
      </c>
      <c r="E28" s="16">
        <v>5</v>
      </c>
      <c r="F28" s="30">
        <v>449</v>
      </c>
      <c r="G28" s="31">
        <v>65105</v>
      </c>
      <c r="H28" s="32"/>
      <c r="I28" s="57">
        <v>1470</v>
      </c>
      <c r="J28" s="57">
        <v>14</v>
      </c>
      <c r="K28" s="57">
        <v>630</v>
      </c>
      <c r="L28" s="57">
        <v>6</v>
      </c>
      <c r="M28" s="57">
        <v>1260</v>
      </c>
      <c r="N28" s="57">
        <v>12</v>
      </c>
      <c r="O28" s="57">
        <v>945</v>
      </c>
      <c r="P28" s="57">
        <v>9</v>
      </c>
      <c r="Q28" s="55">
        <f t="shared" si="0"/>
        <v>4305</v>
      </c>
      <c r="R28" s="56">
        <f t="shared" si="2"/>
        <v>3843.75</v>
      </c>
      <c r="S28" s="50">
        <f t="shared" si="1"/>
        <v>41</v>
      </c>
      <c r="T28" s="21">
        <v>236085</v>
      </c>
      <c r="U28" s="25">
        <v>203673.85714285716</v>
      </c>
      <c r="V28" s="1">
        <f t="shared" si="3"/>
        <v>240390</v>
      </c>
      <c r="W28" s="49">
        <f t="shared" si="4"/>
        <v>207517.60714285716</v>
      </c>
    </row>
    <row r="29" spans="1:23" s="37" customFormat="1" ht="17.399999999999999">
      <c r="A29" s="27">
        <v>25</v>
      </c>
      <c r="B29" s="28" t="s">
        <v>68</v>
      </c>
      <c r="C29" s="28" t="s">
        <v>69</v>
      </c>
      <c r="D29" s="29" t="s">
        <v>37</v>
      </c>
      <c r="E29" s="16">
        <v>5</v>
      </c>
      <c r="F29" s="30">
        <v>450</v>
      </c>
      <c r="G29" s="31">
        <v>43650</v>
      </c>
      <c r="H29" s="32"/>
      <c r="I29" s="57">
        <v>0</v>
      </c>
      <c r="J29" s="57">
        <v>0</v>
      </c>
      <c r="K29" s="57">
        <v>194</v>
      </c>
      <c r="L29" s="57">
        <v>2</v>
      </c>
      <c r="M29" s="57">
        <v>582</v>
      </c>
      <c r="N29" s="57">
        <v>6</v>
      </c>
      <c r="O29" s="57">
        <v>582</v>
      </c>
      <c r="P29" s="57">
        <v>6</v>
      </c>
      <c r="Q29" s="55">
        <f t="shared" si="0"/>
        <v>1358</v>
      </c>
      <c r="R29" s="56">
        <f t="shared" si="2"/>
        <v>1212.5</v>
      </c>
      <c r="S29" s="50">
        <f t="shared" si="1"/>
        <v>14</v>
      </c>
      <c r="T29" s="21">
        <v>40896</v>
      </c>
      <c r="U29" s="25">
        <v>37384.321428571428</v>
      </c>
      <c r="V29" s="1">
        <f t="shared" si="3"/>
        <v>42254</v>
      </c>
      <c r="W29" s="49">
        <f t="shared" si="4"/>
        <v>38596.821428571428</v>
      </c>
    </row>
    <row r="30" spans="1:23" s="37" customFormat="1" ht="17.399999999999999">
      <c r="A30" s="27">
        <v>26</v>
      </c>
      <c r="B30" s="28" t="s">
        <v>70</v>
      </c>
      <c r="C30" s="28" t="s">
        <v>71</v>
      </c>
      <c r="D30" s="29" t="s">
        <v>37</v>
      </c>
      <c r="E30" s="16">
        <v>5</v>
      </c>
      <c r="F30" s="30">
        <v>300</v>
      </c>
      <c r="G30" s="31">
        <v>29100</v>
      </c>
      <c r="H30" s="32"/>
      <c r="I30" s="57">
        <v>873</v>
      </c>
      <c r="J30" s="57">
        <v>9</v>
      </c>
      <c r="K30" s="57">
        <v>0</v>
      </c>
      <c r="L30" s="57">
        <v>0</v>
      </c>
      <c r="M30" s="57">
        <v>0</v>
      </c>
      <c r="N30" s="57">
        <v>0</v>
      </c>
      <c r="O30" s="57">
        <v>0</v>
      </c>
      <c r="P30" s="57">
        <v>0</v>
      </c>
      <c r="Q30" s="55">
        <f t="shared" si="0"/>
        <v>873</v>
      </c>
      <c r="R30" s="56">
        <f t="shared" si="2"/>
        <v>779.46428571428567</v>
      </c>
      <c r="S30" s="50">
        <f t="shared" si="1"/>
        <v>9</v>
      </c>
      <c r="T30" s="21">
        <v>38412</v>
      </c>
      <c r="U30" s="25">
        <v>33988.678571428572</v>
      </c>
      <c r="V30" s="1">
        <f t="shared" si="3"/>
        <v>39285</v>
      </c>
      <c r="W30" s="49">
        <f t="shared" si="4"/>
        <v>34768.142857142855</v>
      </c>
    </row>
    <row r="31" spans="1:23" s="37" customFormat="1" ht="17.399999999999999">
      <c r="A31" s="27">
        <v>27</v>
      </c>
      <c r="B31" s="28" t="s">
        <v>72</v>
      </c>
      <c r="C31" s="28" t="s">
        <v>73</v>
      </c>
      <c r="D31" s="29" t="s">
        <v>37</v>
      </c>
      <c r="E31" s="16">
        <v>5</v>
      </c>
      <c r="F31" s="30">
        <v>896</v>
      </c>
      <c r="G31" s="31">
        <v>144420</v>
      </c>
      <c r="H31" s="32"/>
      <c r="I31" s="57">
        <v>2400</v>
      </c>
      <c r="J31" s="57">
        <v>18</v>
      </c>
      <c r="K31" s="57">
        <v>4650</v>
      </c>
      <c r="L31" s="57">
        <v>38</v>
      </c>
      <c r="M31" s="57">
        <v>3700</v>
      </c>
      <c r="N31" s="57">
        <v>39</v>
      </c>
      <c r="O31" s="57">
        <v>0</v>
      </c>
      <c r="P31" s="57">
        <v>0</v>
      </c>
      <c r="Q31" s="55">
        <f t="shared" si="0"/>
        <v>10750</v>
      </c>
      <c r="R31" s="56">
        <f t="shared" si="2"/>
        <v>9598.2142857142862</v>
      </c>
      <c r="S31" s="50">
        <f t="shared" si="1"/>
        <v>95</v>
      </c>
      <c r="T31" s="21">
        <v>498330</v>
      </c>
      <c r="U31" s="25">
        <v>435108.89285714284</v>
      </c>
      <c r="V31" s="1">
        <f t="shared" si="3"/>
        <v>509080</v>
      </c>
      <c r="W31" s="49">
        <f t="shared" si="4"/>
        <v>444707.1071428571</v>
      </c>
    </row>
    <row r="32" spans="1:23" ht="17.399999999999999">
      <c r="A32" s="15">
        <v>28</v>
      </c>
      <c r="B32" s="16" t="s">
        <v>74</v>
      </c>
      <c r="C32" s="16" t="s">
        <v>45</v>
      </c>
      <c r="D32" s="17" t="s">
        <v>37</v>
      </c>
      <c r="E32" s="16">
        <v>5</v>
      </c>
      <c r="F32" s="18">
        <v>360</v>
      </c>
      <c r="G32" s="19">
        <v>42700</v>
      </c>
      <c r="H32" s="20"/>
      <c r="I32" s="55">
        <v>2655</v>
      </c>
      <c r="J32" s="55">
        <v>37</v>
      </c>
      <c r="K32" s="55">
        <v>1170</v>
      </c>
      <c r="L32" s="55">
        <v>20</v>
      </c>
      <c r="M32" s="55">
        <v>405</v>
      </c>
      <c r="N32" s="55">
        <v>7</v>
      </c>
      <c r="O32" s="55">
        <v>1155</v>
      </c>
      <c r="P32" s="55">
        <v>13</v>
      </c>
      <c r="Q32" s="55">
        <f t="shared" si="0"/>
        <v>5385</v>
      </c>
      <c r="R32" s="56">
        <f t="shared" si="2"/>
        <v>4808.0357142857147</v>
      </c>
      <c r="S32" s="50">
        <f t="shared" si="1"/>
        <v>77</v>
      </c>
      <c r="T32" s="21">
        <v>137750</v>
      </c>
      <c r="U32" s="25">
        <v>119634.9642857143</v>
      </c>
      <c r="V32" s="1">
        <f t="shared" si="3"/>
        <v>143135</v>
      </c>
      <c r="W32" s="49">
        <f t="shared" si="4"/>
        <v>124443.00000000001</v>
      </c>
    </row>
    <row r="33" spans="1:23" s="37" customFormat="1" ht="17.399999999999999">
      <c r="A33" s="27">
        <v>29</v>
      </c>
      <c r="B33" s="28" t="s">
        <v>75</v>
      </c>
      <c r="C33" s="28" t="s">
        <v>76</v>
      </c>
      <c r="D33" s="29" t="s">
        <v>37</v>
      </c>
      <c r="E33" s="16">
        <v>5</v>
      </c>
      <c r="F33" s="30">
        <v>726</v>
      </c>
      <c r="G33" s="31">
        <v>32670</v>
      </c>
      <c r="H33" s="32"/>
      <c r="I33" s="57">
        <v>0</v>
      </c>
      <c r="J33" s="57">
        <v>0</v>
      </c>
      <c r="K33" s="57">
        <v>870</v>
      </c>
      <c r="L33" s="57">
        <v>6</v>
      </c>
      <c r="M33" s="57">
        <v>0</v>
      </c>
      <c r="N33" s="57">
        <v>0</v>
      </c>
      <c r="O33" s="57">
        <v>0</v>
      </c>
      <c r="P33" s="57">
        <v>0</v>
      </c>
      <c r="Q33" s="55">
        <f t="shared" si="0"/>
        <v>870</v>
      </c>
      <c r="R33" s="56">
        <f t="shared" si="2"/>
        <v>776.78571428571433</v>
      </c>
      <c r="S33" s="50">
        <f t="shared" si="1"/>
        <v>6</v>
      </c>
      <c r="T33" s="21">
        <v>97297</v>
      </c>
      <c r="U33" s="25">
        <v>82601.57142857142</v>
      </c>
      <c r="V33" s="1">
        <f t="shared" si="3"/>
        <v>98167</v>
      </c>
      <c r="W33" s="49">
        <f t="shared" si="4"/>
        <v>83378.35714285713</v>
      </c>
    </row>
    <row r="34" spans="1:23" s="37" customFormat="1" ht="17.399999999999999">
      <c r="A34" s="27">
        <v>30</v>
      </c>
      <c r="B34" s="28" t="s">
        <v>77</v>
      </c>
      <c r="C34" s="28" t="s">
        <v>78</v>
      </c>
      <c r="D34" s="29" t="s">
        <v>37</v>
      </c>
      <c r="E34" s="16">
        <v>5</v>
      </c>
      <c r="F34" s="30">
        <v>600</v>
      </c>
      <c r="G34" s="31">
        <v>49142</v>
      </c>
      <c r="H34" s="32"/>
      <c r="I34" s="57">
        <v>700</v>
      </c>
      <c r="J34" s="57">
        <v>7</v>
      </c>
      <c r="K34" s="57">
        <v>1500</v>
      </c>
      <c r="L34" s="57">
        <v>15</v>
      </c>
      <c r="M34" s="57">
        <v>700</v>
      </c>
      <c r="N34" s="57">
        <v>7</v>
      </c>
      <c r="O34" s="57">
        <v>0</v>
      </c>
      <c r="P34" s="57">
        <v>0</v>
      </c>
      <c r="Q34" s="55">
        <f t="shared" si="0"/>
        <v>2900</v>
      </c>
      <c r="R34" s="56">
        <f t="shared" si="2"/>
        <v>2589.2857142857142</v>
      </c>
      <c r="S34" s="50">
        <f t="shared" si="1"/>
        <v>29</v>
      </c>
      <c r="T34" s="21">
        <v>68209</v>
      </c>
      <c r="U34" s="25">
        <v>59901.142857142862</v>
      </c>
      <c r="V34" s="1">
        <f t="shared" si="3"/>
        <v>71109</v>
      </c>
      <c r="W34" s="49">
        <f t="shared" si="4"/>
        <v>62490.42857142858</v>
      </c>
    </row>
    <row r="35" spans="1:23" ht="17.399999999999999">
      <c r="A35" s="15">
        <v>31</v>
      </c>
      <c r="B35" s="16" t="s">
        <v>79</v>
      </c>
      <c r="C35" s="16" t="s">
        <v>80</v>
      </c>
      <c r="D35" s="17" t="s">
        <v>86</v>
      </c>
      <c r="E35" s="16">
        <v>5</v>
      </c>
      <c r="F35" s="18"/>
      <c r="G35" s="19"/>
      <c r="H35" s="20"/>
      <c r="I35" s="55"/>
      <c r="J35" s="55"/>
      <c r="K35" s="55"/>
      <c r="L35" s="55"/>
      <c r="M35" s="55"/>
      <c r="N35" s="55"/>
      <c r="O35" s="55"/>
      <c r="P35" s="55"/>
      <c r="Q35" s="55">
        <f t="shared" si="0"/>
        <v>0</v>
      </c>
      <c r="R35" s="56">
        <f t="shared" si="2"/>
        <v>0</v>
      </c>
      <c r="S35" s="50">
        <f t="shared" si="1"/>
        <v>0</v>
      </c>
      <c r="T35" s="21">
        <v>0</v>
      </c>
      <c r="U35" s="25">
        <v>0</v>
      </c>
      <c r="V35" s="1">
        <f t="shared" si="3"/>
        <v>0</v>
      </c>
      <c r="W35" s="49">
        <f t="shared" si="4"/>
        <v>0</v>
      </c>
    </row>
    <row r="36" spans="1:23" ht="15.6">
      <c r="A36" s="84" t="s">
        <v>81</v>
      </c>
      <c r="B36" s="85"/>
      <c r="C36" s="85"/>
      <c r="D36" s="85"/>
      <c r="E36" s="85"/>
      <c r="F36" s="86"/>
      <c r="G36" s="39"/>
      <c r="H36" s="40"/>
      <c r="I36" s="53">
        <f>SUM(I5:I35)</f>
        <v>29423</v>
      </c>
      <c r="J36" s="53">
        <f t="shared" ref="J36:S36" si="5">SUM(J5:J35)</f>
        <v>294</v>
      </c>
      <c r="K36" s="53">
        <f t="shared" si="5"/>
        <v>32516</v>
      </c>
      <c r="L36" s="53">
        <f t="shared" si="5"/>
        <v>312</v>
      </c>
      <c r="M36" s="53">
        <f t="shared" si="5"/>
        <v>22802</v>
      </c>
      <c r="N36" s="53">
        <f t="shared" si="5"/>
        <v>200</v>
      </c>
      <c r="O36" s="53">
        <f t="shared" si="5"/>
        <v>13097</v>
      </c>
      <c r="P36" s="53">
        <f t="shared" si="5"/>
        <v>123</v>
      </c>
      <c r="Q36" s="53">
        <f t="shared" si="5"/>
        <v>97838</v>
      </c>
      <c r="R36" s="54">
        <f t="shared" si="5"/>
        <v>87355.35714285713</v>
      </c>
      <c r="S36" s="41">
        <f t="shared" si="5"/>
        <v>929</v>
      </c>
      <c r="T36" s="42">
        <f>SUM(T5:T35)</f>
        <v>4779770</v>
      </c>
      <c r="U36" s="42">
        <f>SUM(U5:U35)</f>
        <v>4149887.8928571427</v>
      </c>
      <c r="V36" s="1"/>
    </row>
    <row r="37" spans="1:23" ht="15.6">
      <c r="A37" s="3"/>
      <c r="B37" s="3"/>
      <c r="C37" s="3"/>
      <c r="D37" s="3"/>
      <c r="E37" s="3"/>
      <c r="F37" s="3"/>
      <c r="G37" s="3"/>
      <c r="H37" s="3"/>
      <c r="I37" s="1"/>
      <c r="J37" s="1"/>
      <c r="K37" s="2"/>
      <c r="L37" s="2"/>
      <c r="M37" s="2"/>
      <c r="N37" s="2"/>
      <c r="O37" s="2"/>
      <c r="P37" s="2"/>
      <c r="Q37" s="1"/>
      <c r="R37" s="1"/>
      <c r="S37" s="1"/>
      <c r="T37" s="58"/>
      <c r="U37" s="59"/>
      <c r="V37" s="1"/>
    </row>
    <row r="38" spans="1:23" ht="15.6">
      <c r="A38" s="3"/>
      <c r="B38" s="3"/>
      <c r="C38" s="3"/>
      <c r="D38" s="3"/>
      <c r="E38" s="3"/>
      <c r="F38" s="3"/>
      <c r="G38" s="3"/>
      <c r="H38" s="3"/>
      <c r="I38" s="1"/>
      <c r="J38" s="1"/>
      <c r="K38" s="2"/>
      <c r="L38" s="2"/>
      <c r="M38" s="2"/>
      <c r="N38" s="2"/>
      <c r="O38" s="2"/>
      <c r="P38" s="2"/>
      <c r="Q38" s="1"/>
      <c r="R38" s="1"/>
      <c r="S38" s="1"/>
      <c r="T38" s="58"/>
      <c r="U38" s="59"/>
      <c r="V38" s="1"/>
    </row>
    <row r="39" spans="1:23">
      <c r="I39" s="78"/>
      <c r="J39" s="78"/>
    </row>
    <row r="40" spans="1:23">
      <c r="I40" s="78"/>
      <c r="J40" s="78"/>
    </row>
    <row r="41" spans="1:23">
      <c r="I41" s="78"/>
      <c r="J41" s="78"/>
    </row>
    <row r="42" spans="1:23">
      <c r="I42" s="78"/>
      <c r="J42" s="78"/>
    </row>
    <row r="43" spans="1:23">
      <c r="I43" s="78"/>
      <c r="J43" s="78"/>
    </row>
    <row r="44" spans="1:23">
      <c r="I44" s="78"/>
      <c r="J44" s="78"/>
    </row>
    <row r="45" spans="1:23">
      <c r="I45" s="78"/>
      <c r="J45" s="78"/>
    </row>
    <row r="46" spans="1:23">
      <c r="I46" s="78"/>
      <c r="J46" s="78"/>
    </row>
    <row r="47" spans="1:23">
      <c r="I47" s="78"/>
      <c r="J47" s="78"/>
    </row>
    <row r="48" spans="1:23">
      <c r="I48" s="78"/>
      <c r="J48" s="78"/>
    </row>
    <row r="49" spans="9:10">
      <c r="I49" s="78"/>
      <c r="J49" s="78"/>
    </row>
    <row r="50" spans="9:10">
      <c r="I50" s="78"/>
      <c r="J50" s="78"/>
    </row>
    <row r="51" spans="9:10">
      <c r="I51" s="78"/>
      <c r="J51" s="78"/>
    </row>
    <row r="52" spans="9:10">
      <c r="I52" s="78"/>
      <c r="J52" s="78"/>
    </row>
    <row r="53" spans="9:10">
      <c r="I53" s="78"/>
      <c r="J53" s="78"/>
    </row>
    <row r="54" spans="9:10">
      <c r="I54" s="78"/>
      <c r="J54" s="78"/>
    </row>
    <row r="55" spans="9:10">
      <c r="I55" s="78"/>
      <c r="J55" s="78"/>
    </row>
    <row r="56" spans="9:10">
      <c r="I56" s="78"/>
      <c r="J56" s="78"/>
    </row>
    <row r="57" spans="9:10">
      <c r="I57" s="78"/>
      <c r="J57" s="78"/>
    </row>
    <row r="58" spans="9:10">
      <c r="I58" s="78"/>
      <c r="J58" s="78"/>
    </row>
    <row r="59" spans="9:10">
      <c r="I59" s="78"/>
      <c r="J59" s="78"/>
    </row>
    <row r="60" spans="9:10">
      <c r="I60" s="78"/>
      <c r="J60" s="78"/>
    </row>
    <row r="61" spans="9:10">
      <c r="I61" s="78"/>
      <c r="J61" s="78"/>
    </row>
    <row r="62" spans="9:10">
      <c r="I62" s="78"/>
      <c r="J62" s="78"/>
    </row>
    <row r="63" spans="9:10">
      <c r="I63" s="78"/>
      <c r="J63" s="78"/>
    </row>
    <row r="64" spans="9:10">
      <c r="I64" s="78"/>
      <c r="J64" s="78"/>
    </row>
    <row r="65" spans="9:10">
      <c r="I65" s="78"/>
      <c r="J65" s="78"/>
    </row>
    <row r="66" spans="9:10">
      <c r="I66" s="78"/>
      <c r="J66" s="78"/>
    </row>
    <row r="67" spans="9:10">
      <c r="I67" s="78"/>
      <c r="J67" s="78"/>
    </row>
    <row r="68" spans="9:10">
      <c r="I68" s="78"/>
      <c r="J68" s="78"/>
    </row>
    <row r="69" spans="9:10">
      <c r="I69" s="78"/>
      <c r="J69" s="78"/>
    </row>
    <row r="70" spans="9:10">
      <c r="I70" s="78"/>
      <c r="J70" s="78"/>
    </row>
    <row r="71" spans="9:10">
      <c r="I71" s="78"/>
      <c r="J71" s="78"/>
    </row>
    <row r="72" spans="9:10">
      <c r="I72" s="78"/>
      <c r="J72" s="78"/>
    </row>
    <row r="73" spans="9:10">
      <c r="I73" s="78"/>
      <c r="J73" s="78"/>
    </row>
    <row r="74" spans="9:10">
      <c r="I74" s="78"/>
      <c r="J74" s="78"/>
    </row>
    <row r="75" spans="9:10">
      <c r="I75" s="78"/>
      <c r="J75" s="78"/>
    </row>
    <row r="76" spans="9:10">
      <c r="I76" s="78"/>
      <c r="J76" s="78"/>
    </row>
    <row r="77" spans="9:10">
      <c r="I77" s="78"/>
      <c r="J77" s="78"/>
    </row>
    <row r="78" spans="9:10">
      <c r="I78" s="78"/>
      <c r="J78" s="78"/>
    </row>
    <row r="79" spans="9:10">
      <c r="I79" s="78"/>
      <c r="J79" s="78"/>
    </row>
    <row r="80" spans="9:10">
      <c r="I80" s="78"/>
      <c r="J80" s="78"/>
    </row>
    <row r="81" spans="9:10">
      <c r="I81" s="78"/>
      <c r="J81" s="78"/>
    </row>
    <row r="82" spans="9:10">
      <c r="I82" s="78"/>
      <c r="J82" s="78"/>
    </row>
    <row r="83" spans="9:10">
      <c r="I83" s="78"/>
      <c r="J83" s="78"/>
    </row>
    <row r="84" spans="9:10">
      <c r="I84" s="78"/>
      <c r="J84" s="78"/>
    </row>
    <row r="85" spans="9:10">
      <c r="I85" s="78"/>
      <c r="J85" s="78"/>
    </row>
    <row r="86" spans="9:10">
      <c r="I86" s="78"/>
      <c r="J86" s="78"/>
    </row>
    <row r="87" spans="9:10">
      <c r="I87" s="78"/>
      <c r="J87" s="78"/>
    </row>
    <row r="88" spans="9:10">
      <c r="I88" s="78"/>
      <c r="J88" s="78"/>
    </row>
    <row r="89" spans="9:10">
      <c r="I89" s="78"/>
      <c r="J89" s="78"/>
    </row>
    <row r="90" spans="9:10">
      <c r="I90" s="78"/>
      <c r="J90" s="78"/>
    </row>
    <row r="91" spans="9:10">
      <c r="I91" s="78"/>
      <c r="J91" s="78"/>
    </row>
    <row r="92" spans="9:10">
      <c r="I92" s="78"/>
      <c r="J92" s="78"/>
    </row>
    <row r="93" spans="9:10">
      <c r="I93" s="78"/>
      <c r="J93" s="78"/>
    </row>
    <row r="94" spans="9:10">
      <c r="I94" s="78"/>
      <c r="J94" s="78"/>
    </row>
    <row r="95" spans="9:10">
      <c r="I95" s="78"/>
      <c r="J95" s="78"/>
    </row>
    <row r="96" spans="9:10">
      <c r="I96" s="78"/>
      <c r="J96" s="78"/>
    </row>
    <row r="97" spans="9:10">
      <c r="I97" s="78"/>
      <c r="J97" s="78"/>
    </row>
    <row r="98" spans="9:10">
      <c r="I98" s="78"/>
      <c r="J98" s="78"/>
    </row>
    <row r="99" spans="9:10">
      <c r="I99" s="78"/>
      <c r="J99" s="78"/>
    </row>
    <row r="100" spans="9:10">
      <c r="I100" s="78"/>
      <c r="J100" s="78"/>
    </row>
    <row r="101" spans="9:10">
      <c r="I101" s="78"/>
      <c r="J101" s="78"/>
    </row>
    <row r="102" spans="9:10">
      <c r="I102" s="78"/>
      <c r="J102" s="78"/>
    </row>
    <row r="103" spans="9:10">
      <c r="I103" s="78"/>
      <c r="J103" s="78"/>
    </row>
    <row r="104" spans="9:10">
      <c r="I104" s="78"/>
      <c r="J104" s="78"/>
    </row>
    <row r="105" spans="9:10">
      <c r="I105" s="78"/>
      <c r="J105" s="78"/>
    </row>
    <row r="106" spans="9:10">
      <c r="I106" s="78"/>
      <c r="J106" s="78"/>
    </row>
    <row r="107" spans="9:10">
      <c r="I107" s="78"/>
      <c r="J107" s="78"/>
    </row>
    <row r="108" spans="9:10">
      <c r="I108" s="78"/>
      <c r="J108" s="78"/>
    </row>
    <row r="109" spans="9:10">
      <c r="I109" s="78"/>
      <c r="J109" s="78"/>
    </row>
    <row r="110" spans="9:10">
      <c r="I110" s="78"/>
      <c r="J110" s="78"/>
    </row>
    <row r="111" spans="9:10">
      <c r="I111" s="78"/>
      <c r="J111" s="78"/>
    </row>
    <row r="112" spans="9:10">
      <c r="I112" s="78"/>
      <c r="J112" s="78"/>
    </row>
    <row r="113" spans="9:10">
      <c r="I113" s="78"/>
      <c r="J113" s="78"/>
    </row>
    <row r="114" spans="9:10">
      <c r="I114" s="78"/>
      <c r="J114" s="78"/>
    </row>
    <row r="115" spans="9:10">
      <c r="I115" s="78"/>
      <c r="J115" s="78"/>
    </row>
    <row r="116" spans="9:10">
      <c r="I116" s="78"/>
      <c r="J116" s="78"/>
    </row>
    <row r="117" spans="9:10">
      <c r="I117" s="78"/>
      <c r="J117" s="78"/>
    </row>
    <row r="118" spans="9:10">
      <c r="I118" s="78"/>
      <c r="J118" s="78"/>
    </row>
    <row r="119" spans="9:10">
      <c r="I119" s="78"/>
      <c r="J119" s="78"/>
    </row>
    <row r="120" spans="9:10">
      <c r="I120" s="78"/>
      <c r="J120" s="78"/>
    </row>
    <row r="121" spans="9:10">
      <c r="I121" s="78"/>
      <c r="J121" s="78"/>
    </row>
    <row r="122" spans="9:10">
      <c r="I122" s="78"/>
      <c r="J122" s="78"/>
    </row>
    <row r="123" spans="9:10">
      <c r="I123" s="78"/>
      <c r="J123" s="78"/>
    </row>
    <row r="124" spans="9:10">
      <c r="I124" s="78"/>
      <c r="J124" s="78"/>
    </row>
    <row r="125" spans="9:10">
      <c r="I125" s="78"/>
      <c r="J125" s="78"/>
    </row>
    <row r="126" spans="9:10">
      <c r="I126" s="78"/>
      <c r="J126" s="78"/>
    </row>
    <row r="127" spans="9:10">
      <c r="I127" s="78"/>
      <c r="J127" s="78"/>
    </row>
    <row r="128" spans="9:10">
      <c r="I128" s="78"/>
      <c r="J128" s="78"/>
    </row>
    <row r="129" spans="9:10">
      <c r="I129" s="78"/>
      <c r="J129" s="78"/>
    </row>
    <row r="130" spans="9:10">
      <c r="I130" s="78"/>
      <c r="J130" s="78"/>
    </row>
    <row r="131" spans="9:10">
      <c r="I131" s="78"/>
      <c r="J131" s="78"/>
    </row>
    <row r="132" spans="9:10">
      <c r="I132" s="78"/>
      <c r="J132" s="78"/>
    </row>
    <row r="133" spans="9:10">
      <c r="I133" s="78"/>
      <c r="J133" s="78"/>
    </row>
    <row r="134" spans="9:10">
      <c r="I134" s="78"/>
      <c r="J134" s="78"/>
    </row>
    <row r="135" spans="9:10">
      <c r="I135" s="78"/>
      <c r="J135" s="78"/>
    </row>
    <row r="136" spans="9:10">
      <c r="I136" s="78"/>
      <c r="J136" s="78"/>
    </row>
    <row r="137" spans="9:10">
      <c r="I137" s="78"/>
      <c r="J137" s="78"/>
    </row>
    <row r="138" spans="9:10">
      <c r="I138" s="78"/>
      <c r="J138" s="78"/>
    </row>
    <row r="139" spans="9:10">
      <c r="I139" s="78"/>
      <c r="J139" s="78"/>
    </row>
    <row r="140" spans="9:10">
      <c r="I140" s="78"/>
      <c r="J140" s="78"/>
    </row>
    <row r="141" spans="9:10">
      <c r="I141" s="78"/>
      <c r="J141" s="78"/>
    </row>
    <row r="142" spans="9:10">
      <c r="I142" s="78"/>
      <c r="J142" s="78"/>
    </row>
    <row r="143" spans="9:10">
      <c r="I143" s="78"/>
      <c r="J143" s="78"/>
    </row>
    <row r="144" spans="9:10">
      <c r="I144" s="78"/>
      <c r="J144" s="78"/>
    </row>
    <row r="145" spans="9:10">
      <c r="I145" s="78"/>
      <c r="J145" s="78"/>
    </row>
    <row r="146" spans="9:10">
      <c r="I146" s="78"/>
      <c r="J146" s="78"/>
    </row>
    <row r="147" spans="9:10">
      <c r="I147" s="78"/>
      <c r="J147" s="78"/>
    </row>
    <row r="148" spans="9:10">
      <c r="I148" s="78"/>
      <c r="J148" s="78"/>
    </row>
    <row r="149" spans="9:10">
      <c r="I149" s="78"/>
      <c r="J149" s="78"/>
    </row>
    <row r="150" spans="9:10">
      <c r="I150" s="78"/>
      <c r="J150" s="78"/>
    </row>
    <row r="151" spans="9:10">
      <c r="I151" s="78"/>
      <c r="J151" s="78"/>
    </row>
    <row r="152" spans="9:10">
      <c r="I152" s="78"/>
      <c r="J152" s="78"/>
    </row>
    <row r="153" spans="9:10">
      <c r="I153" s="78"/>
      <c r="J153" s="78"/>
    </row>
    <row r="154" spans="9:10">
      <c r="I154" s="78"/>
      <c r="J154" s="78"/>
    </row>
    <row r="155" spans="9:10">
      <c r="I155" s="78"/>
      <c r="J155" s="78"/>
    </row>
    <row r="156" spans="9:10">
      <c r="I156" s="78"/>
      <c r="J156" s="78"/>
    </row>
    <row r="157" spans="9:10">
      <c r="I157" s="78"/>
      <c r="J157" s="78"/>
    </row>
    <row r="158" spans="9:10">
      <c r="I158" s="78"/>
      <c r="J158" s="78"/>
    </row>
    <row r="159" spans="9:10">
      <c r="I159" s="78"/>
      <c r="J159" s="78"/>
    </row>
    <row r="160" spans="9:10">
      <c r="I160" s="78"/>
      <c r="J160" s="78"/>
    </row>
    <row r="161" spans="9:10">
      <c r="I161" s="78"/>
      <c r="J161" s="78"/>
    </row>
    <row r="162" spans="9:10">
      <c r="I162" s="78"/>
      <c r="J162" s="78"/>
    </row>
    <row r="163" spans="9:10">
      <c r="I163" s="78"/>
      <c r="J163" s="78"/>
    </row>
    <row r="164" spans="9:10">
      <c r="I164" s="78"/>
      <c r="J164" s="78"/>
    </row>
    <row r="165" spans="9:10">
      <c r="I165" s="78"/>
      <c r="J165" s="78"/>
    </row>
    <row r="166" spans="9:10">
      <c r="I166" s="78"/>
      <c r="J166" s="78"/>
    </row>
    <row r="167" spans="9:10">
      <c r="I167" s="78"/>
      <c r="J167" s="78"/>
    </row>
    <row r="168" spans="9:10">
      <c r="I168" s="78"/>
      <c r="J168" s="78"/>
    </row>
    <row r="169" spans="9:10">
      <c r="I169" s="78"/>
      <c r="J169" s="78"/>
    </row>
    <row r="170" spans="9:10">
      <c r="I170" s="78"/>
      <c r="J170" s="78"/>
    </row>
    <row r="171" spans="9:10">
      <c r="I171" s="78"/>
      <c r="J171" s="78"/>
    </row>
    <row r="172" spans="9:10">
      <c r="I172" s="78"/>
      <c r="J172" s="78"/>
    </row>
    <row r="173" spans="9:10">
      <c r="I173" s="78"/>
      <c r="J173" s="78"/>
    </row>
    <row r="174" spans="9:10">
      <c r="I174" s="78"/>
      <c r="J174" s="78"/>
    </row>
    <row r="175" spans="9:10">
      <c r="I175" s="78"/>
      <c r="J175" s="78"/>
    </row>
    <row r="176" spans="9:10">
      <c r="I176" s="78"/>
      <c r="J176" s="78"/>
    </row>
    <row r="177" spans="9:10">
      <c r="I177" s="78"/>
      <c r="J177" s="78"/>
    </row>
    <row r="178" spans="9:10">
      <c r="I178" s="78"/>
      <c r="J178" s="78"/>
    </row>
    <row r="179" spans="9:10">
      <c r="I179" s="78"/>
      <c r="J179" s="78"/>
    </row>
    <row r="180" spans="9:10">
      <c r="I180" s="78"/>
      <c r="J180" s="78"/>
    </row>
    <row r="181" spans="9:10">
      <c r="I181" s="78"/>
      <c r="J181" s="78"/>
    </row>
    <row r="182" spans="9:10">
      <c r="I182" s="78"/>
      <c r="J182" s="78"/>
    </row>
    <row r="183" spans="9:10">
      <c r="I183" s="78"/>
      <c r="J183" s="78"/>
    </row>
    <row r="184" spans="9:10">
      <c r="I184" s="78"/>
      <c r="J184" s="78"/>
    </row>
    <row r="185" spans="9:10">
      <c r="I185" s="78"/>
      <c r="J185" s="78"/>
    </row>
    <row r="186" spans="9:10">
      <c r="I186" s="78"/>
      <c r="J186" s="78"/>
    </row>
    <row r="187" spans="9:10">
      <c r="I187" s="78"/>
      <c r="J187" s="78"/>
    </row>
    <row r="188" spans="9:10">
      <c r="I188" s="78"/>
      <c r="J188" s="78"/>
    </row>
    <row r="189" spans="9:10">
      <c r="I189" s="78"/>
      <c r="J189" s="78"/>
    </row>
    <row r="190" spans="9:10">
      <c r="I190" s="78"/>
      <c r="J190" s="78"/>
    </row>
    <row r="191" spans="9:10">
      <c r="I191" s="78"/>
      <c r="J191" s="78"/>
    </row>
    <row r="192" spans="9:10">
      <c r="I192" s="78"/>
      <c r="J192" s="78"/>
    </row>
    <row r="193" spans="9:10">
      <c r="I193" s="78"/>
      <c r="J193" s="78"/>
    </row>
    <row r="194" spans="9:10">
      <c r="I194" s="78"/>
      <c r="J194" s="78"/>
    </row>
    <row r="195" spans="9:10">
      <c r="I195" s="78"/>
      <c r="J195" s="78"/>
    </row>
    <row r="196" spans="9:10">
      <c r="I196" s="78"/>
      <c r="J196" s="78"/>
    </row>
    <row r="197" spans="9:10">
      <c r="I197" s="78"/>
      <c r="J197" s="78"/>
    </row>
    <row r="198" spans="9:10">
      <c r="I198" s="78"/>
      <c r="J198" s="78"/>
    </row>
    <row r="199" spans="9:10">
      <c r="I199" s="78"/>
      <c r="J199" s="78"/>
    </row>
    <row r="200" spans="9:10">
      <c r="I200" s="78"/>
      <c r="J200" s="78"/>
    </row>
    <row r="201" spans="9:10">
      <c r="I201" s="78"/>
      <c r="J201" s="78"/>
    </row>
    <row r="202" spans="9:10">
      <c r="I202" s="78"/>
      <c r="J202" s="78"/>
    </row>
    <row r="203" spans="9:10">
      <c r="I203" s="78"/>
      <c r="J203" s="78"/>
    </row>
    <row r="204" spans="9:10">
      <c r="I204" s="78"/>
      <c r="J204" s="78"/>
    </row>
    <row r="205" spans="9:10">
      <c r="I205" s="78"/>
      <c r="J205" s="78"/>
    </row>
    <row r="206" spans="9:10">
      <c r="I206" s="78"/>
      <c r="J206" s="78"/>
    </row>
    <row r="207" spans="9:10">
      <c r="I207" s="78"/>
      <c r="J207" s="78"/>
    </row>
    <row r="208" spans="9:10">
      <c r="I208" s="78"/>
      <c r="J208" s="78"/>
    </row>
    <row r="209" spans="9:10">
      <c r="I209" s="78"/>
      <c r="J209" s="78"/>
    </row>
    <row r="210" spans="9:10">
      <c r="I210" s="78"/>
      <c r="J210" s="78"/>
    </row>
    <row r="211" spans="9:10">
      <c r="I211" s="78"/>
      <c r="J211" s="78"/>
    </row>
    <row r="212" spans="9:10">
      <c r="I212" s="78"/>
      <c r="J212" s="78"/>
    </row>
    <row r="213" spans="9:10">
      <c r="I213" s="78"/>
      <c r="J213" s="78"/>
    </row>
    <row r="214" spans="9:10">
      <c r="I214" s="78"/>
      <c r="J214" s="78"/>
    </row>
    <row r="215" spans="9:10">
      <c r="I215" s="78"/>
      <c r="J215" s="78"/>
    </row>
    <row r="216" spans="9:10">
      <c r="I216" s="78"/>
      <c r="J216" s="78"/>
    </row>
    <row r="217" spans="9:10">
      <c r="I217" s="78"/>
      <c r="J217" s="78"/>
    </row>
    <row r="218" spans="9:10">
      <c r="I218" s="78"/>
      <c r="J218" s="78"/>
    </row>
    <row r="219" spans="9:10">
      <c r="I219" s="78"/>
      <c r="J219" s="78"/>
    </row>
    <row r="220" spans="9:10">
      <c r="I220" s="78"/>
      <c r="J220" s="78"/>
    </row>
    <row r="221" spans="9:10">
      <c r="I221" s="78"/>
      <c r="J221" s="78"/>
    </row>
    <row r="222" spans="9:10">
      <c r="I222" s="78"/>
      <c r="J222" s="78"/>
    </row>
    <row r="223" spans="9:10">
      <c r="I223" s="78"/>
      <c r="J223" s="78"/>
    </row>
    <row r="224" spans="9:10">
      <c r="I224" s="78"/>
      <c r="J224" s="78"/>
    </row>
    <row r="225" spans="9:10">
      <c r="I225" s="78"/>
      <c r="J225" s="78"/>
    </row>
    <row r="226" spans="9:10">
      <c r="I226" s="78"/>
      <c r="J226" s="78"/>
    </row>
    <row r="227" spans="9:10">
      <c r="I227" s="78"/>
      <c r="J227" s="78"/>
    </row>
    <row r="228" spans="9:10">
      <c r="I228" s="78"/>
      <c r="J228" s="78"/>
    </row>
    <row r="229" spans="9:10">
      <c r="I229" s="78"/>
      <c r="J229" s="78"/>
    </row>
    <row r="230" spans="9:10">
      <c r="I230" s="78"/>
      <c r="J230" s="78"/>
    </row>
    <row r="231" spans="9:10">
      <c r="I231" s="78"/>
      <c r="J231" s="78"/>
    </row>
    <row r="232" spans="9:10">
      <c r="I232" s="78"/>
      <c r="J232" s="78"/>
    </row>
    <row r="233" spans="9:10">
      <c r="I233" s="78"/>
      <c r="J233" s="78"/>
    </row>
    <row r="234" spans="9:10">
      <c r="I234" s="78"/>
      <c r="J234" s="78"/>
    </row>
    <row r="235" spans="9:10">
      <c r="I235" s="78"/>
      <c r="J235" s="78"/>
    </row>
    <row r="236" spans="9:10">
      <c r="I236" s="78"/>
      <c r="J236" s="78"/>
    </row>
    <row r="237" spans="9:10">
      <c r="I237" s="78"/>
      <c r="J237" s="78"/>
    </row>
    <row r="238" spans="9:10">
      <c r="I238" s="78"/>
      <c r="J238" s="78"/>
    </row>
    <row r="239" spans="9:10">
      <c r="I239" s="78"/>
      <c r="J239" s="78"/>
    </row>
    <row r="240" spans="9:10">
      <c r="I240" s="78"/>
      <c r="J240" s="78"/>
    </row>
    <row r="241" spans="9:10">
      <c r="I241" s="78"/>
      <c r="J241" s="78"/>
    </row>
    <row r="242" spans="9:10">
      <c r="I242" s="78"/>
      <c r="J242" s="78"/>
    </row>
    <row r="243" spans="9:10">
      <c r="I243" s="78"/>
      <c r="J243" s="78"/>
    </row>
    <row r="244" spans="9:10">
      <c r="I244" s="78"/>
      <c r="J244" s="78"/>
    </row>
    <row r="245" spans="9:10">
      <c r="I245" s="78"/>
      <c r="J245" s="78"/>
    </row>
    <row r="246" spans="9:10">
      <c r="I246" s="78"/>
      <c r="J246" s="78"/>
    </row>
    <row r="247" spans="9:10">
      <c r="I247" s="78"/>
      <c r="J247" s="78"/>
    </row>
    <row r="248" spans="9:10">
      <c r="I248" s="78"/>
      <c r="J248" s="78"/>
    </row>
    <row r="249" spans="9:10">
      <c r="I249" s="78"/>
      <c r="J249" s="78"/>
    </row>
    <row r="250" spans="9:10">
      <c r="I250" s="78"/>
      <c r="J250" s="78"/>
    </row>
    <row r="251" spans="9:10">
      <c r="I251" s="78"/>
      <c r="J251" s="78"/>
    </row>
    <row r="252" spans="9:10">
      <c r="I252" s="78"/>
      <c r="J252" s="78"/>
    </row>
    <row r="253" spans="9:10">
      <c r="I253" s="78"/>
      <c r="J253" s="78"/>
    </row>
    <row r="254" spans="9:10">
      <c r="I254" s="78"/>
      <c r="J254" s="78"/>
    </row>
    <row r="255" spans="9:10">
      <c r="I255" s="78"/>
      <c r="J255" s="78"/>
    </row>
    <row r="256" spans="9:10">
      <c r="I256" s="78"/>
      <c r="J256" s="78"/>
    </row>
    <row r="257" spans="9:10">
      <c r="I257" s="78"/>
      <c r="J257" s="78"/>
    </row>
    <row r="258" spans="9:10">
      <c r="I258" s="78"/>
      <c r="J258" s="78"/>
    </row>
    <row r="259" spans="9:10">
      <c r="I259" s="78"/>
      <c r="J259" s="78"/>
    </row>
    <row r="260" spans="9:10">
      <c r="I260" s="78"/>
      <c r="J260" s="78"/>
    </row>
    <row r="261" spans="9:10">
      <c r="I261" s="78"/>
      <c r="J261" s="78"/>
    </row>
    <row r="262" spans="9:10">
      <c r="I262" s="78"/>
      <c r="J262" s="78"/>
    </row>
    <row r="263" spans="9:10">
      <c r="I263" s="78"/>
      <c r="J263" s="78"/>
    </row>
    <row r="264" spans="9:10">
      <c r="I264" s="78"/>
      <c r="J264" s="78"/>
    </row>
    <row r="265" spans="9:10">
      <c r="I265" s="78"/>
      <c r="J265" s="78"/>
    </row>
    <row r="266" spans="9:10">
      <c r="I266" s="78"/>
      <c r="J266" s="78"/>
    </row>
    <row r="267" spans="9:10">
      <c r="I267" s="78"/>
      <c r="J267" s="78"/>
    </row>
    <row r="268" spans="9:10">
      <c r="I268" s="78"/>
      <c r="J268" s="78"/>
    </row>
    <row r="269" spans="9:10">
      <c r="I269" s="78"/>
      <c r="J269" s="78"/>
    </row>
    <row r="270" spans="9:10">
      <c r="I270" s="78"/>
      <c r="J270" s="78"/>
    </row>
    <row r="271" spans="9:10">
      <c r="I271" s="78"/>
      <c r="J271" s="78"/>
    </row>
    <row r="272" spans="9:10">
      <c r="I272" s="78"/>
      <c r="J272" s="78"/>
    </row>
    <row r="273" spans="9:10">
      <c r="I273" s="78"/>
      <c r="J273" s="78"/>
    </row>
    <row r="274" spans="9:10">
      <c r="I274" s="78"/>
      <c r="J274" s="78"/>
    </row>
    <row r="275" spans="9:10">
      <c r="I275" s="78"/>
      <c r="J275" s="78"/>
    </row>
    <row r="276" spans="9:10">
      <c r="I276" s="78"/>
      <c r="J276" s="78"/>
    </row>
    <row r="277" spans="9:10">
      <c r="I277" s="78"/>
      <c r="J277" s="78"/>
    </row>
    <row r="278" spans="9:10">
      <c r="I278" s="78"/>
      <c r="J278" s="78"/>
    </row>
    <row r="279" spans="9:10">
      <c r="I279" s="78"/>
      <c r="J279" s="78"/>
    </row>
    <row r="280" spans="9:10">
      <c r="I280" s="78"/>
      <c r="J280" s="78"/>
    </row>
    <row r="281" spans="9:10">
      <c r="I281" s="78"/>
      <c r="J281" s="78"/>
    </row>
    <row r="282" spans="9:10">
      <c r="I282" s="78"/>
      <c r="J282" s="78"/>
    </row>
    <row r="283" spans="9:10">
      <c r="I283" s="78"/>
      <c r="J283" s="78"/>
    </row>
    <row r="284" spans="9:10">
      <c r="I284" s="78"/>
      <c r="J284" s="78"/>
    </row>
    <row r="285" spans="9:10">
      <c r="I285" s="78"/>
      <c r="J285" s="78"/>
    </row>
    <row r="286" spans="9:10">
      <c r="I286" s="78"/>
      <c r="J286" s="78"/>
    </row>
    <row r="287" spans="9:10">
      <c r="I287" s="78"/>
      <c r="J287" s="78"/>
    </row>
    <row r="288" spans="9:10">
      <c r="I288" s="78"/>
      <c r="J288" s="78"/>
    </row>
    <row r="289" spans="9:10">
      <c r="I289" s="78"/>
      <c r="J289" s="78"/>
    </row>
    <row r="290" spans="9:10">
      <c r="I290" s="78"/>
      <c r="J290" s="78"/>
    </row>
    <row r="291" spans="9:10">
      <c r="I291" s="78"/>
      <c r="J291" s="78"/>
    </row>
    <row r="292" spans="9:10">
      <c r="I292" s="78"/>
      <c r="J292" s="78"/>
    </row>
    <row r="293" spans="9:10">
      <c r="I293" s="78"/>
      <c r="J293" s="78"/>
    </row>
    <row r="294" spans="9:10">
      <c r="I294" s="78"/>
      <c r="J294" s="78"/>
    </row>
    <row r="295" spans="9:10">
      <c r="I295" s="78"/>
      <c r="J295" s="78"/>
    </row>
    <row r="296" spans="9:10">
      <c r="I296" s="78"/>
      <c r="J296" s="78"/>
    </row>
    <row r="297" spans="9:10">
      <c r="I297" s="78"/>
      <c r="J297" s="78"/>
    </row>
    <row r="298" spans="9:10">
      <c r="I298" s="78"/>
      <c r="J298" s="78"/>
    </row>
    <row r="299" spans="9:10">
      <c r="I299" s="78"/>
      <c r="J299" s="78"/>
    </row>
    <row r="300" spans="9:10">
      <c r="I300" s="78"/>
      <c r="J300" s="78"/>
    </row>
    <row r="301" spans="9:10">
      <c r="I301" s="78"/>
      <c r="J301" s="78"/>
    </row>
    <row r="302" spans="9:10">
      <c r="I302" s="78"/>
      <c r="J302" s="78"/>
    </row>
    <row r="303" spans="9:10">
      <c r="I303" s="78"/>
      <c r="J303" s="78"/>
    </row>
    <row r="304" spans="9:10">
      <c r="I304" s="78"/>
      <c r="J304" s="78"/>
    </row>
    <row r="305" spans="9:10">
      <c r="I305" s="78"/>
      <c r="J305" s="78"/>
    </row>
    <row r="306" spans="9:10">
      <c r="I306" s="78"/>
      <c r="J306" s="78"/>
    </row>
    <row r="307" spans="9:10">
      <c r="I307" s="78"/>
      <c r="J307" s="78"/>
    </row>
    <row r="308" spans="9:10">
      <c r="I308" s="78"/>
      <c r="J308" s="78"/>
    </row>
    <row r="309" spans="9:10">
      <c r="I309" s="78"/>
      <c r="J309" s="78"/>
    </row>
    <row r="310" spans="9:10">
      <c r="I310" s="78"/>
      <c r="J310" s="78"/>
    </row>
    <row r="311" spans="9:10">
      <c r="I311" s="78"/>
      <c r="J311" s="78"/>
    </row>
    <row r="312" spans="9:10">
      <c r="I312" s="78"/>
      <c r="J312" s="78"/>
    </row>
    <row r="313" spans="9:10">
      <c r="I313" s="78"/>
      <c r="J313" s="78"/>
    </row>
    <row r="314" spans="9:10">
      <c r="I314" s="78"/>
      <c r="J314" s="78"/>
    </row>
    <row r="315" spans="9:10">
      <c r="I315" s="78"/>
      <c r="J315" s="78"/>
    </row>
    <row r="316" spans="9:10">
      <c r="I316" s="78"/>
      <c r="J316" s="78"/>
    </row>
    <row r="317" spans="9:10">
      <c r="I317" s="78"/>
      <c r="J317" s="78"/>
    </row>
    <row r="318" spans="9:10">
      <c r="I318" s="78"/>
      <c r="J318" s="78"/>
    </row>
    <row r="319" spans="9:10">
      <c r="I319" s="78"/>
      <c r="J319" s="78"/>
    </row>
    <row r="320" spans="9:10">
      <c r="I320" s="78"/>
      <c r="J320" s="78"/>
    </row>
    <row r="321" spans="9:10">
      <c r="I321" s="78"/>
      <c r="J321" s="78"/>
    </row>
    <row r="322" spans="9:10">
      <c r="I322" s="78"/>
      <c r="J322" s="78"/>
    </row>
    <row r="323" spans="9:10">
      <c r="I323" s="78"/>
      <c r="J323" s="78"/>
    </row>
    <row r="324" spans="9:10">
      <c r="I324" s="78"/>
      <c r="J324" s="78"/>
    </row>
    <row r="325" spans="9:10">
      <c r="I325" s="78"/>
      <c r="J325" s="78"/>
    </row>
    <row r="326" spans="9:10">
      <c r="I326" s="78"/>
      <c r="J326" s="78"/>
    </row>
    <row r="327" spans="9:10">
      <c r="I327" s="78"/>
      <c r="J327" s="78"/>
    </row>
    <row r="328" spans="9:10">
      <c r="I328" s="78"/>
      <c r="J328" s="78"/>
    </row>
    <row r="329" spans="9:10">
      <c r="I329" s="78"/>
      <c r="J329" s="78"/>
    </row>
    <row r="330" spans="9:10">
      <c r="I330" s="78"/>
      <c r="J330" s="78"/>
    </row>
    <row r="331" spans="9:10">
      <c r="I331" s="78"/>
      <c r="J331" s="78"/>
    </row>
    <row r="332" spans="9:10">
      <c r="I332" s="78"/>
      <c r="J332" s="78"/>
    </row>
    <row r="333" spans="9:10">
      <c r="I333" s="78"/>
      <c r="J333" s="78"/>
    </row>
    <row r="334" spans="9:10">
      <c r="I334" s="78"/>
      <c r="J334" s="78"/>
    </row>
    <row r="335" spans="9:10">
      <c r="I335" s="78"/>
      <c r="J335" s="78"/>
    </row>
    <row r="336" spans="9:10">
      <c r="I336" s="78"/>
      <c r="J336" s="78"/>
    </row>
    <row r="337" spans="9:10">
      <c r="I337" s="78"/>
      <c r="J337" s="78"/>
    </row>
    <row r="338" spans="9:10">
      <c r="I338" s="78"/>
      <c r="J338" s="78"/>
    </row>
    <row r="339" spans="9:10">
      <c r="I339" s="78"/>
      <c r="J339" s="78"/>
    </row>
    <row r="340" spans="9:10">
      <c r="I340" s="78"/>
      <c r="J340" s="78"/>
    </row>
    <row r="341" spans="9:10">
      <c r="I341" s="78"/>
      <c r="J341" s="78"/>
    </row>
    <row r="342" spans="9:10">
      <c r="I342" s="78"/>
      <c r="J342" s="78"/>
    </row>
    <row r="343" spans="9:10">
      <c r="I343" s="78"/>
      <c r="J343" s="78"/>
    </row>
    <row r="344" spans="9:10">
      <c r="I344" s="78"/>
      <c r="J344" s="78"/>
    </row>
    <row r="345" spans="9:10">
      <c r="I345" s="78"/>
      <c r="J345" s="78"/>
    </row>
    <row r="346" spans="9:10">
      <c r="I346" s="78"/>
      <c r="J346" s="78"/>
    </row>
    <row r="347" spans="9:10">
      <c r="I347" s="78"/>
      <c r="J347" s="78"/>
    </row>
    <row r="348" spans="9:10">
      <c r="I348" s="78"/>
      <c r="J348" s="78"/>
    </row>
    <row r="349" spans="9:10">
      <c r="I349" s="78"/>
      <c r="J349" s="78"/>
    </row>
    <row r="350" spans="9:10">
      <c r="I350" s="78"/>
      <c r="J350" s="78"/>
    </row>
    <row r="351" spans="9:10">
      <c r="I351" s="78"/>
      <c r="J351" s="78"/>
    </row>
    <row r="352" spans="9:10">
      <c r="I352" s="78"/>
      <c r="J352" s="78"/>
    </row>
    <row r="353" spans="9:10">
      <c r="I353" s="78"/>
      <c r="J353" s="78"/>
    </row>
    <row r="354" spans="9:10">
      <c r="I354" s="78"/>
      <c r="J354" s="78"/>
    </row>
    <row r="355" spans="9:10">
      <c r="I355" s="78"/>
      <c r="J355" s="78"/>
    </row>
    <row r="356" spans="9:10">
      <c r="I356" s="78"/>
      <c r="J356" s="78"/>
    </row>
    <row r="357" spans="9:10">
      <c r="I357" s="78"/>
      <c r="J357" s="78"/>
    </row>
    <row r="358" spans="9:10">
      <c r="I358" s="78"/>
      <c r="J358" s="78"/>
    </row>
    <row r="359" spans="9:10">
      <c r="I359" s="78"/>
      <c r="J359" s="78"/>
    </row>
    <row r="360" spans="9:10">
      <c r="I360" s="78"/>
      <c r="J360" s="78"/>
    </row>
    <row r="361" spans="9:10">
      <c r="I361" s="78"/>
      <c r="J361" s="78"/>
    </row>
    <row r="362" spans="9:10">
      <c r="I362" s="78"/>
      <c r="J362" s="78"/>
    </row>
    <row r="363" spans="9:10">
      <c r="I363" s="78"/>
      <c r="J363" s="78"/>
    </row>
    <row r="364" spans="9:10">
      <c r="I364" s="78"/>
      <c r="J364" s="78"/>
    </row>
    <row r="365" spans="9:10">
      <c r="I365" s="78"/>
      <c r="J365" s="78"/>
    </row>
    <row r="366" spans="9:10">
      <c r="I366" s="78"/>
      <c r="J366" s="78"/>
    </row>
    <row r="367" spans="9:10">
      <c r="I367" s="78"/>
      <c r="J367" s="78"/>
    </row>
    <row r="368" spans="9:10">
      <c r="I368" s="78"/>
      <c r="J368" s="78"/>
    </row>
    <row r="369" spans="9:10">
      <c r="I369" s="78"/>
      <c r="J369" s="78"/>
    </row>
    <row r="370" spans="9:10">
      <c r="I370" s="78"/>
      <c r="J370" s="78"/>
    </row>
    <row r="371" spans="9:10">
      <c r="I371" s="78"/>
      <c r="J371" s="78"/>
    </row>
    <row r="372" spans="9:10">
      <c r="I372" s="78"/>
      <c r="J372" s="78"/>
    </row>
    <row r="373" spans="9:10">
      <c r="I373" s="78"/>
      <c r="J373" s="78"/>
    </row>
    <row r="374" spans="9:10">
      <c r="I374" s="78"/>
      <c r="J374" s="78"/>
    </row>
    <row r="375" spans="9:10">
      <c r="I375" s="78"/>
      <c r="J375" s="78"/>
    </row>
    <row r="376" spans="9:10">
      <c r="I376" s="78"/>
      <c r="J376" s="78"/>
    </row>
    <row r="377" spans="9:10">
      <c r="I377" s="78"/>
      <c r="J377" s="78"/>
    </row>
    <row r="378" spans="9:10">
      <c r="I378" s="78"/>
      <c r="J378" s="78"/>
    </row>
    <row r="379" spans="9:10">
      <c r="I379" s="78"/>
      <c r="J379" s="78"/>
    </row>
    <row r="380" spans="9:10">
      <c r="I380" s="78"/>
      <c r="J380" s="78"/>
    </row>
    <row r="381" spans="9:10">
      <c r="I381" s="78"/>
      <c r="J381" s="78"/>
    </row>
    <row r="382" spans="9:10">
      <c r="I382" s="78"/>
      <c r="J382" s="78"/>
    </row>
    <row r="383" spans="9:10">
      <c r="I383" s="78"/>
      <c r="J383" s="78"/>
    </row>
    <row r="384" spans="9:10">
      <c r="I384" s="78"/>
      <c r="J384" s="78"/>
    </row>
    <row r="385" spans="9:10">
      <c r="I385" s="78"/>
      <c r="J385" s="78"/>
    </row>
    <row r="386" spans="9:10">
      <c r="I386" s="78"/>
      <c r="J386" s="78"/>
    </row>
    <row r="387" spans="9:10">
      <c r="I387" s="78"/>
      <c r="J387" s="78"/>
    </row>
    <row r="388" spans="9:10">
      <c r="I388" s="78"/>
      <c r="J388" s="78"/>
    </row>
    <row r="389" spans="9:10">
      <c r="I389" s="78"/>
      <c r="J389" s="78"/>
    </row>
    <row r="390" spans="9:10">
      <c r="I390" s="78"/>
      <c r="J390" s="78"/>
    </row>
    <row r="391" spans="9:10">
      <c r="I391" s="78"/>
      <c r="J391" s="78"/>
    </row>
    <row r="392" spans="9:10">
      <c r="I392" s="78"/>
      <c r="J392" s="78"/>
    </row>
    <row r="393" spans="9:10">
      <c r="I393" s="78"/>
      <c r="J393" s="78"/>
    </row>
    <row r="394" spans="9:10">
      <c r="I394" s="78"/>
      <c r="J394" s="78"/>
    </row>
    <row r="395" spans="9:10">
      <c r="I395" s="78"/>
      <c r="J395" s="78"/>
    </row>
    <row r="396" spans="9:10">
      <c r="I396" s="78"/>
      <c r="J396" s="78"/>
    </row>
    <row r="397" spans="9:10">
      <c r="I397" s="78"/>
      <c r="J397" s="78"/>
    </row>
    <row r="398" spans="9:10">
      <c r="I398" s="78"/>
      <c r="J398" s="78"/>
    </row>
    <row r="399" spans="9:10">
      <c r="I399" s="78"/>
      <c r="J399" s="78"/>
    </row>
    <row r="400" spans="9:10">
      <c r="I400" s="78"/>
      <c r="J400" s="78"/>
    </row>
    <row r="401" spans="9:10">
      <c r="I401" s="78"/>
      <c r="J401" s="78"/>
    </row>
    <row r="402" spans="9:10">
      <c r="I402" s="78"/>
      <c r="J402" s="78"/>
    </row>
    <row r="403" spans="9:10">
      <c r="I403" s="78"/>
      <c r="J403" s="78"/>
    </row>
    <row r="404" spans="9:10">
      <c r="I404" s="78"/>
      <c r="J404" s="78"/>
    </row>
    <row r="405" spans="9:10">
      <c r="I405" s="78"/>
      <c r="J405" s="78"/>
    </row>
    <row r="406" spans="9:10">
      <c r="I406" s="78"/>
      <c r="J406" s="78"/>
    </row>
    <row r="407" spans="9:10">
      <c r="I407" s="78"/>
      <c r="J407" s="78"/>
    </row>
    <row r="408" spans="9:10">
      <c r="I408" s="78"/>
      <c r="J408" s="78"/>
    </row>
    <row r="409" spans="9:10">
      <c r="I409" s="78"/>
      <c r="J409" s="78"/>
    </row>
    <row r="410" spans="9:10">
      <c r="I410" s="78"/>
      <c r="J410" s="78"/>
    </row>
    <row r="411" spans="9:10">
      <c r="I411" s="78"/>
      <c r="J411" s="78"/>
    </row>
    <row r="412" spans="9:10">
      <c r="I412" s="78"/>
      <c r="J412" s="78"/>
    </row>
    <row r="413" spans="9:10">
      <c r="I413" s="78"/>
      <c r="J413" s="78"/>
    </row>
    <row r="414" spans="9:10">
      <c r="I414" s="78"/>
      <c r="J414" s="78"/>
    </row>
    <row r="415" spans="9:10">
      <c r="I415" s="78"/>
      <c r="J415" s="78"/>
    </row>
    <row r="416" spans="9:10">
      <c r="I416" s="78"/>
      <c r="J416" s="78"/>
    </row>
    <row r="417" spans="9:10">
      <c r="I417" s="78"/>
      <c r="J417" s="78"/>
    </row>
    <row r="418" spans="9:10">
      <c r="I418" s="78"/>
      <c r="J418" s="78"/>
    </row>
    <row r="419" spans="9:10">
      <c r="I419" s="78"/>
      <c r="J419" s="78"/>
    </row>
    <row r="420" spans="9:10">
      <c r="I420" s="78"/>
      <c r="J420" s="78"/>
    </row>
    <row r="421" spans="9:10">
      <c r="I421" s="78"/>
      <c r="J421" s="78"/>
    </row>
    <row r="422" spans="9:10">
      <c r="I422" s="78"/>
      <c r="J422" s="78"/>
    </row>
    <row r="423" spans="9:10">
      <c r="I423" s="78"/>
      <c r="J423" s="78"/>
    </row>
    <row r="424" spans="9:10">
      <c r="I424" s="78"/>
      <c r="J424" s="78"/>
    </row>
    <row r="425" spans="9:10">
      <c r="I425" s="78"/>
      <c r="J425" s="78"/>
    </row>
    <row r="426" spans="9:10">
      <c r="I426" s="78"/>
      <c r="J426" s="78"/>
    </row>
    <row r="427" spans="9:10">
      <c r="I427" s="78"/>
      <c r="J427" s="78"/>
    </row>
    <row r="428" spans="9:10">
      <c r="I428" s="78"/>
      <c r="J428" s="78"/>
    </row>
    <row r="429" spans="9:10">
      <c r="I429" s="78"/>
      <c r="J429" s="78"/>
    </row>
    <row r="430" spans="9:10">
      <c r="I430" s="78"/>
      <c r="J430" s="78"/>
    </row>
    <row r="431" spans="9:10">
      <c r="I431" s="78"/>
      <c r="J431" s="78"/>
    </row>
    <row r="432" spans="9:10">
      <c r="I432" s="78"/>
      <c r="J432" s="78"/>
    </row>
    <row r="433" spans="9:10">
      <c r="I433" s="78"/>
      <c r="J433" s="78"/>
    </row>
    <row r="434" spans="9:10">
      <c r="I434" s="78"/>
      <c r="J434" s="78"/>
    </row>
    <row r="435" spans="9:10">
      <c r="I435" s="78"/>
      <c r="J435" s="78"/>
    </row>
    <row r="436" spans="9:10">
      <c r="I436" s="78"/>
      <c r="J436" s="78"/>
    </row>
    <row r="437" spans="9:10">
      <c r="I437" s="78"/>
      <c r="J437" s="78"/>
    </row>
    <row r="438" spans="9:10">
      <c r="I438" s="78"/>
      <c r="J438" s="78"/>
    </row>
    <row r="439" spans="9:10">
      <c r="I439" s="78"/>
      <c r="J439" s="78"/>
    </row>
    <row r="440" spans="9:10">
      <c r="I440" s="78"/>
      <c r="J440" s="78"/>
    </row>
    <row r="441" spans="9:10">
      <c r="I441" s="78"/>
      <c r="J441" s="78"/>
    </row>
    <row r="442" spans="9:10">
      <c r="I442" s="78"/>
      <c r="J442" s="78"/>
    </row>
    <row r="443" spans="9:10">
      <c r="I443" s="78"/>
      <c r="J443" s="78"/>
    </row>
    <row r="444" spans="9:10">
      <c r="I444" s="78"/>
      <c r="J444" s="78"/>
    </row>
    <row r="445" spans="9:10">
      <c r="I445" s="78"/>
      <c r="J445" s="78"/>
    </row>
    <row r="446" spans="9:10">
      <c r="I446" s="78"/>
      <c r="J446" s="78"/>
    </row>
    <row r="447" spans="9:10">
      <c r="I447" s="78"/>
      <c r="J447" s="78"/>
    </row>
    <row r="448" spans="9:10">
      <c r="I448" s="78"/>
      <c r="J448" s="78"/>
    </row>
    <row r="449" spans="9:10">
      <c r="I449" s="78"/>
      <c r="J449" s="78"/>
    </row>
    <row r="450" spans="9:10">
      <c r="I450" s="78"/>
      <c r="J450" s="78"/>
    </row>
    <row r="451" spans="9:10">
      <c r="I451" s="78"/>
      <c r="J451" s="78"/>
    </row>
    <row r="452" spans="9:10">
      <c r="I452" s="78"/>
      <c r="J452" s="78"/>
    </row>
    <row r="453" spans="9:10">
      <c r="I453" s="78"/>
      <c r="J453" s="78"/>
    </row>
    <row r="454" spans="9:10">
      <c r="I454" s="78"/>
      <c r="J454" s="78"/>
    </row>
    <row r="455" spans="9:10">
      <c r="I455" s="78"/>
      <c r="J455" s="78"/>
    </row>
    <row r="456" spans="9:10">
      <c r="I456" s="78"/>
      <c r="J456" s="78"/>
    </row>
    <row r="457" spans="9:10">
      <c r="I457" s="78"/>
      <c r="J457" s="78"/>
    </row>
    <row r="458" spans="9:10">
      <c r="I458" s="78"/>
      <c r="J458" s="78"/>
    </row>
    <row r="459" spans="9:10">
      <c r="I459" s="78"/>
      <c r="J459" s="78"/>
    </row>
    <row r="460" spans="9:10">
      <c r="I460" s="78"/>
      <c r="J460" s="78"/>
    </row>
    <row r="461" spans="9:10">
      <c r="I461" s="78"/>
      <c r="J461" s="78"/>
    </row>
    <row r="462" spans="9:10">
      <c r="I462" s="78"/>
      <c r="J462" s="78"/>
    </row>
    <row r="463" spans="9:10">
      <c r="I463" s="78"/>
      <c r="J463" s="78"/>
    </row>
    <row r="464" spans="9:10">
      <c r="I464" s="78"/>
      <c r="J464" s="78"/>
    </row>
    <row r="465" spans="9:10">
      <c r="I465" s="78"/>
      <c r="J465" s="78"/>
    </row>
    <row r="466" spans="9:10">
      <c r="I466" s="78"/>
      <c r="J466" s="78"/>
    </row>
    <row r="467" spans="9:10">
      <c r="I467" s="78"/>
      <c r="J467" s="78"/>
    </row>
    <row r="468" spans="9:10">
      <c r="I468" s="78"/>
      <c r="J468" s="78"/>
    </row>
    <row r="469" spans="9:10">
      <c r="I469" s="78"/>
      <c r="J469" s="78"/>
    </row>
    <row r="470" spans="9:10">
      <c r="I470" s="78"/>
      <c r="J470" s="78"/>
    </row>
    <row r="471" spans="9:10">
      <c r="I471" s="78"/>
      <c r="J471" s="78"/>
    </row>
    <row r="472" spans="9:10">
      <c r="I472" s="78"/>
      <c r="J472" s="78"/>
    </row>
    <row r="473" spans="9:10">
      <c r="I473" s="78"/>
      <c r="J473" s="78"/>
    </row>
    <row r="474" spans="9:10">
      <c r="I474" s="78"/>
      <c r="J474" s="78"/>
    </row>
    <row r="475" spans="9:10">
      <c r="I475" s="78"/>
      <c r="J475" s="78"/>
    </row>
    <row r="476" spans="9:10">
      <c r="I476" s="78"/>
      <c r="J476" s="78"/>
    </row>
    <row r="477" spans="9:10">
      <c r="I477" s="78"/>
      <c r="J477" s="78"/>
    </row>
    <row r="478" spans="9:10">
      <c r="I478" s="78"/>
      <c r="J478" s="78"/>
    </row>
    <row r="479" spans="9:10">
      <c r="I479" s="78"/>
      <c r="J479" s="78"/>
    </row>
    <row r="480" spans="9:10">
      <c r="I480" s="78"/>
      <c r="J480" s="78"/>
    </row>
    <row r="481" spans="9:10">
      <c r="I481" s="78"/>
      <c r="J481" s="78"/>
    </row>
    <row r="482" spans="9:10">
      <c r="I482" s="78"/>
      <c r="J482" s="78"/>
    </row>
    <row r="483" spans="9:10">
      <c r="I483" s="78"/>
      <c r="J483" s="78"/>
    </row>
    <row r="484" spans="9:10">
      <c r="I484" s="78"/>
      <c r="J484" s="78"/>
    </row>
    <row r="485" spans="9:10">
      <c r="I485" s="78"/>
      <c r="J485" s="78"/>
    </row>
    <row r="486" spans="9:10">
      <c r="I486" s="78"/>
      <c r="J486" s="78"/>
    </row>
    <row r="487" spans="9:10">
      <c r="I487" s="78"/>
      <c r="J487" s="78"/>
    </row>
    <row r="488" spans="9:10">
      <c r="I488" s="78"/>
      <c r="J488" s="78"/>
    </row>
    <row r="489" spans="9:10">
      <c r="I489" s="78"/>
      <c r="J489" s="78"/>
    </row>
    <row r="490" spans="9:10">
      <c r="I490" s="78"/>
      <c r="J490" s="78"/>
    </row>
    <row r="491" spans="9:10">
      <c r="I491" s="78"/>
      <c r="J491" s="78"/>
    </row>
    <row r="492" spans="9:10">
      <c r="I492" s="78"/>
      <c r="J492" s="78"/>
    </row>
    <row r="493" spans="9:10">
      <c r="I493" s="78"/>
      <c r="J493" s="78"/>
    </row>
    <row r="494" spans="9:10">
      <c r="I494" s="78"/>
      <c r="J494" s="78"/>
    </row>
    <row r="495" spans="9:10">
      <c r="I495" s="78"/>
      <c r="J495" s="78"/>
    </row>
    <row r="496" spans="9:10">
      <c r="I496" s="78"/>
      <c r="J496" s="78"/>
    </row>
    <row r="497" spans="9:10">
      <c r="I497" s="78"/>
      <c r="J497" s="78"/>
    </row>
    <row r="498" spans="9:10">
      <c r="I498" s="78"/>
      <c r="J498" s="78"/>
    </row>
    <row r="499" spans="9:10">
      <c r="I499" s="78"/>
      <c r="J499" s="78"/>
    </row>
    <row r="500" spans="9:10">
      <c r="I500" s="78"/>
      <c r="J500" s="78"/>
    </row>
    <row r="501" spans="9:10">
      <c r="I501" s="78"/>
      <c r="J501" s="78"/>
    </row>
    <row r="502" spans="9:10">
      <c r="I502" s="78"/>
      <c r="J502" s="78"/>
    </row>
    <row r="503" spans="9:10">
      <c r="I503" s="78"/>
      <c r="J503" s="78"/>
    </row>
    <row r="504" spans="9:10">
      <c r="I504" s="78"/>
      <c r="J504" s="78"/>
    </row>
    <row r="505" spans="9:10">
      <c r="I505" s="78"/>
      <c r="J505" s="78"/>
    </row>
    <row r="506" spans="9:10">
      <c r="I506" s="78"/>
      <c r="J506" s="78"/>
    </row>
    <row r="507" spans="9:10">
      <c r="I507" s="78"/>
      <c r="J507" s="78"/>
    </row>
    <row r="508" spans="9:10">
      <c r="I508" s="78"/>
      <c r="J508" s="78"/>
    </row>
    <row r="509" spans="9:10">
      <c r="I509" s="78"/>
      <c r="J509" s="78"/>
    </row>
    <row r="510" spans="9:10">
      <c r="I510" s="78"/>
      <c r="J510" s="78"/>
    </row>
    <row r="511" spans="9:10">
      <c r="I511" s="78"/>
      <c r="J511" s="78"/>
    </row>
    <row r="512" spans="9:10">
      <c r="I512" s="78"/>
      <c r="J512" s="78"/>
    </row>
    <row r="513" spans="9:10">
      <c r="I513" s="78"/>
      <c r="J513" s="78"/>
    </row>
    <row r="514" spans="9:10">
      <c r="I514" s="78"/>
      <c r="J514" s="78"/>
    </row>
    <row r="515" spans="9:10">
      <c r="I515" s="78"/>
      <c r="J515" s="78"/>
    </row>
    <row r="516" spans="9:10">
      <c r="I516" s="78"/>
      <c r="J516" s="78"/>
    </row>
    <row r="517" spans="9:10">
      <c r="I517" s="78"/>
      <c r="J517" s="78"/>
    </row>
    <row r="518" spans="9:10">
      <c r="I518" s="78"/>
      <c r="J518" s="78"/>
    </row>
    <row r="519" spans="9:10">
      <c r="I519" s="78"/>
      <c r="J519" s="78"/>
    </row>
    <row r="520" spans="9:10">
      <c r="I520" s="78"/>
      <c r="J520" s="78"/>
    </row>
    <row r="521" spans="9:10">
      <c r="I521" s="78"/>
      <c r="J521" s="78"/>
    </row>
    <row r="522" spans="9:10">
      <c r="I522" s="78"/>
      <c r="J522" s="78"/>
    </row>
    <row r="523" spans="9:10">
      <c r="I523" s="78"/>
      <c r="J523" s="78"/>
    </row>
    <row r="524" spans="9:10">
      <c r="I524" s="78"/>
      <c r="J524" s="78"/>
    </row>
    <row r="525" spans="9:10">
      <c r="I525" s="78"/>
      <c r="J525" s="78"/>
    </row>
    <row r="526" spans="9:10">
      <c r="I526" s="78"/>
      <c r="J526" s="78"/>
    </row>
    <row r="527" spans="9:10">
      <c r="I527" s="78"/>
      <c r="J527" s="78"/>
    </row>
    <row r="528" spans="9:10">
      <c r="I528" s="78"/>
      <c r="J528" s="78"/>
    </row>
    <row r="529" spans="9:10">
      <c r="I529" s="78"/>
      <c r="J529" s="78"/>
    </row>
    <row r="530" spans="9:10">
      <c r="I530" s="78"/>
      <c r="J530" s="78"/>
    </row>
    <row r="531" spans="9:10">
      <c r="I531" s="78"/>
      <c r="J531" s="78"/>
    </row>
    <row r="532" spans="9:10">
      <c r="I532" s="78"/>
      <c r="J532" s="78"/>
    </row>
    <row r="533" spans="9:10">
      <c r="I533" s="78"/>
      <c r="J533" s="78"/>
    </row>
    <row r="534" spans="9:10">
      <c r="I534" s="78"/>
      <c r="J534" s="78"/>
    </row>
    <row r="535" spans="9:10">
      <c r="I535" s="78"/>
      <c r="J535" s="78"/>
    </row>
    <row r="536" spans="9:10">
      <c r="I536" s="78"/>
      <c r="J536" s="78"/>
    </row>
    <row r="537" spans="9:10">
      <c r="I537" s="78"/>
      <c r="J537" s="78"/>
    </row>
    <row r="538" spans="9:10">
      <c r="I538" s="78"/>
      <c r="J538" s="78"/>
    </row>
    <row r="539" spans="9:10">
      <c r="I539" s="78"/>
      <c r="J539" s="78"/>
    </row>
    <row r="540" spans="9:10">
      <c r="I540" s="78"/>
      <c r="J540" s="78"/>
    </row>
    <row r="541" spans="9:10">
      <c r="I541" s="78"/>
      <c r="J541" s="78"/>
    </row>
    <row r="542" spans="9:10">
      <c r="I542" s="78"/>
      <c r="J542" s="78"/>
    </row>
    <row r="543" spans="9:10">
      <c r="I543" s="78"/>
      <c r="J543" s="78"/>
    </row>
    <row r="544" spans="9:10">
      <c r="I544" s="78"/>
      <c r="J544" s="78"/>
    </row>
    <row r="545" spans="9:10">
      <c r="I545" s="78"/>
      <c r="J545" s="78"/>
    </row>
    <row r="546" spans="9:10">
      <c r="I546" s="78"/>
      <c r="J546" s="78"/>
    </row>
    <row r="547" spans="9:10">
      <c r="I547" s="78"/>
      <c r="J547" s="78"/>
    </row>
    <row r="548" spans="9:10">
      <c r="I548" s="78"/>
      <c r="J548" s="78"/>
    </row>
    <row r="549" spans="9:10">
      <c r="I549" s="78"/>
      <c r="J549" s="78"/>
    </row>
    <row r="550" spans="9:10">
      <c r="I550" s="78"/>
      <c r="J550" s="78"/>
    </row>
    <row r="551" spans="9:10">
      <c r="I551" s="78"/>
      <c r="J551" s="78"/>
    </row>
    <row r="552" spans="9:10">
      <c r="I552" s="78"/>
      <c r="J552" s="78"/>
    </row>
    <row r="553" spans="9:10">
      <c r="I553" s="78"/>
      <c r="J553" s="78"/>
    </row>
    <row r="554" spans="9:10">
      <c r="I554" s="78"/>
      <c r="J554" s="78"/>
    </row>
    <row r="555" spans="9:10">
      <c r="I555" s="78"/>
      <c r="J555" s="78"/>
    </row>
    <row r="556" spans="9:10">
      <c r="I556" s="78"/>
      <c r="J556" s="78"/>
    </row>
    <row r="557" spans="9:10">
      <c r="I557" s="78"/>
      <c r="J557" s="78"/>
    </row>
    <row r="558" spans="9:10">
      <c r="I558" s="78"/>
      <c r="J558" s="78"/>
    </row>
    <row r="559" spans="9:10">
      <c r="I559" s="78"/>
      <c r="J559" s="78"/>
    </row>
    <row r="560" spans="9:10">
      <c r="I560" s="78"/>
      <c r="J560" s="78"/>
    </row>
    <row r="561" spans="9:10">
      <c r="I561" s="78"/>
      <c r="J561" s="78"/>
    </row>
    <row r="562" spans="9:10">
      <c r="I562" s="78"/>
      <c r="J562" s="78"/>
    </row>
    <row r="563" spans="9:10">
      <c r="I563" s="78"/>
      <c r="J563" s="78"/>
    </row>
    <row r="564" spans="9:10">
      <c r="I564" s="78"/>
      <c r="J564" s="78"/>
    </row>
    <row r="565" spans="9:10">
      <c r="I565" s="78"/>
      <c r="J565" s="78"/>
    </row>
    <row r="566" spans="9:10">
      <c r="I566" s="78"/>
      <c r="J566" s="78"/>
    </row>
    <row r="567" spans="9:10">
      <c r="I567" s="78"/>
      <c r="J567" s="78"/>
    </row>
    <row r="568" spans="9:10">
      <c r="I568" s="78"/>
      <c r="J568" s="78"/>
    </row>
    <row r="569" spans="9:10">
      <c r="I569" s="78"/>
      <c r="J569" s="78"/>
    </row>
    <row r="570" spans="9:10">
      <c r="I570" s="78"/>
      <c r="J570" s="78"/>
    </row>
    <row r="571" spans="9:10">
      <c r="I571" s="78"/>
      <c r="J571" s="78"/>
    </row>
    <row r="572" spans="9:10">
      <c r="I572" s="78"/>
      <c r="J572" s="78"/>
    </row>
    <row r="573" spans="9:10">
      <c r="I573" s="78"/>
      <c r="J573" s="78"/>
    </row>
    <row r="574" spans="9:10">
      <c r="I574" s="78"/>
      <c r="J574" s="78"/>
    </row>
    <row r="575" spans="9:10">
      <c r="I575" s="78"/>
      <c r="J575" s="78"/>
    </row>
    <row r="576" spans="9:10">
      <c r="I576" s="78"/>
      <c r="J576" s="78"/>
    </row>
    <row r="577" spans="9:10">
      <c r="I577" s="78"/>
      <c r="J577" s="78"/>
    </row>
    <row r="578" spans="9:10">
      <c r="I578" s="78"/>
      <c r="J578" s="78"/>
    </row>
    <row r="579" spans="9:10">
      <c r="I579" s="78"/>
      <c r="J579" s="78"/>
    </row>
    <row r="580" spans="9:10">
      <c r="I580" s="78"/>
      <c r="J580" s="78"/>
    </row>
    <row r="581" spans="9:10">
      <c r="I581" s="78"/>
      <c r="J581" s="78"/>
    </row>
    <row r="582" spans="9:10">
      <c r="I582" s="78"/>
      <c r="J582" s="78"/>
    </row>
    <row r="583" spans="9:10">
      <c r="I583" s="78"/>
      <c r="J583" s="78"/>
    </row>
    <row r="584" spans="9:10">
      <c r="I584" s="78"/>
      <c r="J584" s="78"/>
    </row>
    <row r="585" spans="9:10">
      <c r="I585" s="78"/>
      <c r="J585" s="78"/>
    </row>
    <row r="586" spans="9:10">
      <c r="I586" s="78"/>
      <c r="J586" s="78"/>
    </row>
    <row r="587" spans="9:10">
      <c r="I587" s="78"/>
      <c r="J587" s="78"/>
    </row>
    <row r="588" spans="9:10">
      <c r="I588" s="78"/>
      <c r="J588" s="78"/>
    </row>
    <row r="589" spans="9:10">
      <c r="I589" s="78"/>
      <c r="J589" s="78"/>
    </row>
    <row r="590" spans="9:10">
      <c r="I590" s="78"/>
      <c r="J590" s="78"/>
    </row>
    <row r="591" spans="9:10">
      <c r="I591" s="78"/>
      <c r="J591" s="78"/>
    </row>
    <row r="592" spans="9:10">
      <c r="I592" s="78"/>
      <c r="J592" s="78"/>
    </row>
    <row r="593" spans="9:10">
      <c r="I593" s="78"/>
      <c r="J593" s="78"/>
    </row>
    <row r="594" spans="9:10">
      <c r="I594" s="78"/>
      <c r="J594" s="78"/>
    </row>
    <row r="595" spans="9:10">
      <c r="I595" s="78"/>
      <c r="J595" s="78"/>
    </row>
    <row r="596" spans="9:10">
      <c r="I596" s="78"/>
      <c r="J596" s="78"/>
    </row>
    <row r="597" spans="9:10">
      <c r="I597" s="78"/>
      <c r="J597" s="78"/>
    </row>
    <row r="598" spans="9:10">
      <c r="I598" s="78"/>
      <c r="J598" s="78"/>
    </row>
    <row r="599" spans="9:10">
      <c r="I599" s="78"/>
      <c r="J599" s="78"/>
    </row>
    <row r="600" spans="9:10">
      <c r="I600" s="78"/>
      <c r="J600" s="78"/>
    </row>
    <row r="601" spans="9:10">
      <c r="I601" s="78"/>
      <c r="J601" s="78"/>
    </row>
    <row r="602" spans="9:10">
      <c r="I602" s="78"/>
      <c r="J602" s="78"/>
    </row>
    <row r="603" spans="9:10">
      <c r="I603" s="78"/>
      <c r="J603" s="78"/>
    </row>
    <row r="604" spans="9:10">
      <c r="I604" s="78"/>
      <c r="J604" s="78"/>
    </row>
    <row r="605" spans="9:10">
      <c r="I605" s="78"/>
      <c r="J605" s="78"/>
    </row>
    <row r="606" spans="9:10">
      <c r="I606" s="78"/>
      <c r="J606" s="78"/>
    </row>
    <row r="607" spans="9:10">
      <c r="I607" s="78"/>
      <c r="J607" s="78"/>
    </row>
    <row r="608" spans="9:10">
      <c r="I608" s="78"/>
      <c r="J608" s="78"/>
    </row>
    <row r="609" spans="9:10">
      <c r="I609" s="78"/>
      <c r="J609" s="78"/>
    </row>
    <row r="610" spans="9:10">
      <c r="I610" s="78"/>
      <c r="J610" s="78"/>
    </row>
    <row r="611" spans="9:10">
      <c r="I611" s="78"/>
      <c r="J611" s="78"/>
    </row>
    <row r="612" spans="9:10">
      <c r="I612" s="78"/>
      <c r="J612" s="78"/>
    </row>
    <row r="613" spans="9:10">
      <c r="I613" s="78"/>
      <c r="J613" s="78"/>
    </row>
    <row r="614" spans="9:10">
      <c r="I614" s="78"/>
      <c r="J614" s="78"/>
    </row>
    <row r="615" spans="9:10">
      <c r="I615" s="78"/>
      <c r="J615" s="78"/>
    </row>
    <row r="616" spans="9:10">
      <c r="I616" s="78"/>
      <c r="J616" s="78"/>
    </row>
    <row r="617" spans="9:10">
      <c r="I617" s="78"/>
      <c r="J617" s="78"/>
    </row>
    <row r="618" spans="9:10">
      <c r="I618" s="78"/>
      <c r="J618" s="78"/>
    </row>
    <row r="619" spans="9:10">
      <c r="I619" s="78"/>
      <c r="J619" s="78"/>
    </row>
    <row r="620" spans="9:10">
      <c r="I620" s="78"/>
      <c r="J620" s="78"/>
    </row>
    <row r="621" spans="9:10">
      <c r="I621" s="78"/>
      <c r="J621" s="78"/>
    </row>
    <row r="622" spans="9:10">
      <c r="I622" s="78"/>
      <c r="J622" s="78"/>
    </row>
    <row r="623" spans="9:10">
      <c r="I623" s="78"/>
      <c r="J623" s="78"/>
    </row>
    <row r="624" spans="9:10">
      <c r="I624" s="78"/>
      <c r="J624" s="78"/>
    </row>
    <row r="625" spans="9:10">
      <c r="I625" s="78"/>
      <c r="J625" s="78"/>
    </row>
    <row r="626" spans="9:10">
      <c r="I626" s="78"/>
      <c r="J626" s="78"/>
    </row>
    <row r="627" spans="9:10">
      <c r="I627" s="78"/>
      <c r="J627" s="78"/>
    </row>
    <row r="628" spans="9:10">
      <c r="I628" s="78"/>
      <c r="J628" s="78"/>
    </row>
    <row r="629" spans="9:10">
      <c r="I629" s="78"/>
      <c r="J629" s="78"/>
    </row>
    <row r="630" spans="9:10">
      <c r="I630" s="78"/>
      <c r="J630" s="78"/>
    </row>
    <row r="631" spans="9:10">
      <c r="I631" s="78"/>
      <c r="J631" s="78"/>
    </row>
    <row r="632" spans="9:10">
      <c r="I632" s="78"/>
      <c r="J632" s="78"/>
    </row>
    <row r="633" spans="9:10">
      <c r="I633" s="78"/>
      <c r="J633" s="78"/>
    </row>
    <row r="634" spans="9:10">
      <c r="I634" s="78"/>
      <c r="J634" s="78"/>
    </row>
    <row r="635" spans="9:10">
      <c r="I635" s="78"/>
      <c r="J635" s="78"/>
    </row>
    <row r="636" spans="9:10">
      <c r="I636" s="78"/>
      <c r="J636" s="78"/>
    </row>
    <row r="637" spans="9:10">
      <c r="I637" s="78"/>
      <c r="J637" s="78"/>
    </row>
    <row r="638" spans="9:10">
      <c r="I638" s="78"/>
      <c r="J638" s="78"/>
    </row>
    <row r="639" spans="9:10">
      <c r="I639" s="78"/>
      <c r="J639" s="78"/>
    </row>
    <row r="640" spans="9:10">
      <c r="I640" s="78"/>
      <c r="J640" s="78"/>
    </row>
    <row r="641" spans="9:10">
      <c r="I641" s="78"/>
      <c r="J641" s="78"/>
    </row>
    <row r="642" spans="9:10">
      <c r="I642" s="78"/>
      <c r="J642" s="78"/>
    </row>
    <row r="643" spans="9:10">
      <c r="I643" s="78"/>
      <c r="J643" s="78"/>
    </row>
    <row r="644" spans="9:10">
      <c r="I644" s="78"/>
      <c r="J644" s="78"/>
    </row>
    <row r="645" spans="9:10">
      <c r="I645" s="78"/>
      <c r="J645" s="78"/>
    </row>
    <row r="646" spans="9:10">
      <c r="I646" s="78"/>
      <c r="J646" s="78"/>
    </row>
    <row r="647" spans="9:10">
      <c r="I647" s="78"/>
      <c r="J647" s="78"/>
    </row>
    <row r="648" spans="9:10">
      <c r="I648" s="78"/>
      <c r="J648" s="78"/>
    </row>
    <row r="649" spans="9:10">
      <c r="I649" s="78"/>
      <c r="J649" s="78"/>
    </row>
    <row r="650" spans="9:10">
      <c r="I650" s="78"/>
      <c r="J650" s="78"/>
    </row>
    <row r="651" spans="9:10">
      <c r="I651" s="78"/>
      <c r="J651" s="78"/>
    </row>
    <row r="652" spans="9:10">
      <c r="I652" s="78"/>
      <c r="J652" s="78"/>
    </row>
    <row r="653" spans="9:10">
      <c r="I653" s="78"/>
      <c r="J653" s="78"/>
    </row>
    <row r="654" spans="9:10">
      <c r="I654" s="78"/>
      <c r="J654" s="78"/>
    </row>
    <row r="655" spans="9:10">
      <c r="I655" s="78"/>
      <c r="J655" s="78"/>
    </row>
    <row r="656" spans="9:10">
      <c r="I656" s="78"/>
      <c r="J656" s="78"/>
    </row>
    <row r="657" spans="9:10">
      <c r="I657" s="78"/>
      <c r="J657" s="78"/>
    </row>
    <row r="658" spans="9:10">
      <c r="I658" s="78"/>
      <c r="J658" s="78"/>
    </row>
    <row r="659" spans="9:10">
      <c r="I659" s="78"/>
      <c r="J659" s="78"/>
    </row>
    <row r="660" spans="9:10">
      <c r="I660" s="78"/>
      <c r="J660" s="78"/>
    </row>
    <row r="661" spans="9:10">
      <c r="I661" s="78"/>
      <c r="J661" s="78"/>
    </row>
    <row r="662" spans="9:10">
      <c r="I662" s="78"/>
      <c r="J662" s="78"/>
    </row>
    <row r="663" spans="9:10">
      <c r="I663" s="78"/>
      <c r="J663" s="78"/>
    </row>
    <row r="664" spans="9:10">
      <c r="I664" s="78"/>
      <c r="J664" s="78"/>
    </row>
    <row r="665" spans="9:10">
      <c r="I665" s="78"/>
      <c r="J665" s="78"/>
    </row>
    <row r="666" spans="9:10">
      <c r="I666" s="78"/>
      <c r="J666" s="78"/>
    </row>
    <row r="667" spans="9:10">
      <c r="I667" s="78"/>
      <c r="J667" s="78"/>
    </row>
    <row r="668" spans="9:10">
      <c r="I668" s="78"/>
      <c r="J668" s="78"/>
    </row>
    <row r="669" spans="9:10">
      <c r="I669" s="78"/>
      <c r="J669" s="78"/>
    </row>
    <row r="670" spans="9:10">
      <c r="I670" s="78"/>
      <c r="J670" s="78"/>
    </row>
    <row r="671" spans="9:10">
      <c r="I671" s="78"/>
      <c r="J671" s="78"/>
    </row>
    <row r="672" spans="9:10">
      <c r="I672" s="78"/>
      <c r="J672" s="78"/>
    </row>
    <row r="673" spans="9:10">
      <c r="I673" s="78"/>
      <c r="J673" s="78"/>
    </row>
    <row r="674" spans="9:10">
      <c r="I674" s="78"/>
      <c r="J674" s="78"/>
    </row>
    <row r="675" spans="9:10">
      <c r="I675" s="78"/>
      <c r="J675" s="78"/>
    </row>
    <row r="676" spans="9:10">
      <c r="I676" s="78"/>
      <c r="J676" s="78"/>
    </row>
    <row r="677" spans="9:10">
      <c r="I677" s="78"/>
      <c r="J677" s="78"/>
    </row>
    <row r="678" spans="9:10">
      <c r="I678" s="78"/>
      <c r="J678" s="78"/>
    </row>
    <row r="679" spans="9:10">
      <c r="I679" s="78"/>
      <c r="J679" s="78"/>
    </row>
    <row r="680" spans="9:10">
      <c r="I680" s="78"/>
      <c r="J680" s="78"/>
    </row>
    <row r="681" spans="9:10">
      <c r="I681" s="78"/>
      <c r="J681" s="78"/>
    </row>
    <row r="682" spans="9:10">
      <c r="I682" s="78"/>
      <c r="J682" s="78"/>
    </row>
    <row r="683" spans="9:10">
      <c r="I683" s="78"/>
      <c r="J683" s="78"/>
    </row>
    <row r="684" spans="9:10">
      <c r="I684" s="78"/>
      <c r="J684" s="78"/>
    </row>
    <row r="685" spans="9:10">
      <c r="I685" s="78"/>
      <c r="J685" s="78"/>
    </row>
    <row r="686" spans="9:10">
      <c r="I686" s="78"/>
      <c r="J686" s="78"/>
    </row>
    <row r="687" spans="9:10">
      <c r="I687" s="78"/>
      <c r="J687" s="78"/>
    </row>
    <row r="688" spans="9:10">
      <c r="I688" s="78"/>
      <c r="J688" s="78"/>
    </row>
    <row r="689" spans="9:10">
      <c r="I689" s="78"/>
      <c r="J689" s="78"/>
    </row>
    <row r="690" spans="9:10">
      <c r="I690" s="78"/>
      <c r="J690" s="78"/>
    </row>
    <row r="691" spans="9:10">
      <c r="I691" s="78"/>
      <c r="J691" s="78"/>
    </row>
    <row r="692" spans="9:10">
      <c r="I692" s="78"/>
      <c r="J692" s="78"/>
    </row>
    <row r="693" spans="9:10">
      <c r="I693" s="78"/>
      <c r="J693" s="78"/>
    </row>
    <row r="694" spans="9:10">
      <c r="I694" s="78"/>
      <c r="J694" s="78"/>
    </row>
    <row r="695" spans="9:10">
      <c r="I695" s="78"/>
      <c r="J695" s="78"/>
    </row>
    <row r="696" spans="9:10">
      <c r="I696" s="78"/>
      <c r="J696" s="78"/>
    </row>
    <row r="697" spans="9:10">
      <c r="I697" s="78"/>
      <c r="J697" s="78"/>
    </row>
    <row r="698" spans="9:10">
      <c r="I698" s="78"/>
      <c r="J698" s="78"/>
    </row>
    <row r="699" spans="9:10">
      <c r="I699" s="78"/>
      <c r="J699" s="78"/>
    </row>
    <row r="700" spans="9:10">
      <c r="I700" s="78"/>
      <c r="J700" s="78"/>
    </row>
    <row r="701" spans="9:10">
      <c r="I701" s="78"/>
      <c r="J701" s="78"/>
    </row>
    <row r="702" spans="9:10">
      <c r="I702" s="78"/>
      <c r="J702" s="78"/>
    </row>
    <row r="703" spans="9:10">
      <c r="I703" s="78"/>
      <c r="J703" s="78"/>
    </row>
    <row r="704" spans="9:10">
      <c r="I704" s="78"/>
      <c r="J704" s="78"/>
    </row>
    <row r="705" spans="9:10">
      <c r="I705" s="78"/>
      <c r="J705" s="78"/>
    </row>
    <row r="706" spans="9:10">
      <c r="I706" s="78"/>
      <c r="J706" s="78"/>
    </row>
    <row r="707" spans="9:10">
      <c r="I707" s="78"/>
      <c r="J707" s="78"/>
    </row>
    <row r="708" spans="9:10">
      <c r="I708" s="78"/>
      <c r="J708" s="78"/>
    </row>
    <row r="709" spans="9:10">
      <c r="I709" s="78"/>
      <c r="J709" s="78"/>
    </row>
    <row r="710" spans="9:10">
      <c r="I710" s="78"/>
      <c r="J710" s="78"/>
    </row>
    <row r="711" spans="9:10">
      <c r="I711" s="78"/>
      <c r="J711" s="78"/>
    </row>
    <row r="712" spans="9:10">
      <c r="I712" s="78"/>
      <c r="J712" s="78"/>
    </row>
    <row r="713" spans="9:10">
      <c r="I713" s="78"/>
      <c r="J713" s="78"/>
    </row>
    <row r="714" spans="9:10">
      <c r="I714" s="78"/>
      <c r="J714" s="78"/>
    </row>
    <row r="715" spans="9:10">
      <c r="I715" s="78"/>
      <c r="J715" s="78"/>
    </row>
    <row r="716" spans="9:10">
      <c r="I716" s="78"/>
      <c r="J716" s="78"/>
    </row>
    <row r="717" spans="9:10">
      <c r="I717" s="78"/>
      <c r="J717" s="78"/>
    </row>
    <row r="718" spans="9:10">
      <c r="I718" s="78"/>
      <c r="J718" s="78"/>
    </row>
    <row r="719" spans="9:10">
      <c r="I719" s="78"/>
      <c r="J719" s="78"/>
    </row>
    <row r="720" spans="9:10">
      <c r="I720" s="78"/>
      <c r="J720" s="78"/>
    </row>
    <row r="721" spans="9:10">
      <c r="I721" s="78"/>
      <c r="J721" s="78"/>
    </row>
    <row r="722" spans="9:10">
      <c r="I722" s="78"/>
      <c r="J722" s="78"/>
    </row>
    <row r="723" spans="9:10">
      <c r="I723" s="78"/>
      <c r="J723" s="78"/>
    </row>
    <row r="724" spans="9:10">
      <c r="I724" s="78"/>
      <c r="J724" s="78"/>
    </row>
    <row r="725" spans="9:10">
      <c r="I725" s="78"/>
      <c r="J725" s="78"/>
    </row>
    <row r="726" spans="9:10">
      <c r="I726" s="78"/>
      <c r="J726" s="78"/>
    </row>
    <row r="727" spans="9:10">
      <c r="I727" s="78"/>
      <c r="J727" s="78"/>
    </row>
    <row r="728" spans="9:10">
      <c r="I728" s="78"/>
      <c r="J728" s="78"/>
    </row>
    <row r="729" spans="9:10">
      <c r="I729" s="78"/>
      <c r="J729" s="78"/>
    </row>
    <row r="730" spans="9:10">
      <c r="I730" s="78"/>
      <c r="J730" s="78"/>
    </row>
    <row r="731" spans="9:10">
      <c r="I731" s="78"/>
      <c r="J731" s="78"/>
    </row>
    <row r="732" spans="9:10">
      <c r="I732" s="78"/>
      <c r="J732" s="78"/>
    </row>
    <row r="733" spans="9:10">
      <c r="I733" s="78"/>
      <c r="J733" s="78"/>
    </row>
    <row r="734" spans="9:10">
      <c r="I734" s="78"/>
      <c r="J734" s="78"/>
    </row>
    <row r="735" spans="9:10">
      <c r="I735" s="78"/>
      <c r="J735" s="78"/>
    </row>
    <row r="736" spans="9:10">
      <c r="I736" s="78"/>
      <c r="J736" s="78"/>
    </row>
    <row r="737" spans="9:10">
      <c r="I737" s="78"/>
      <c r="J737" s="78"/>
    </row>
    <row r="738" spans="9:10">
      <c r="I738" s="78"/>
      <c r="J738" s="78"/>
    </row>
    <row r="739" spans="9:10">
      <c r="I739" s="78"/>
      <c r="J739" s="78"/>
    </row>
    <row r="740" spans="9:10">
      <c r="I740" s="78"/>
      <c r="J740" s="78"/>
    </row>
    <row r="741" spans="9:10">
      <c r="I741" s="78"/>
      <c r="J741" s="78"/>
    </row>
    <row r="742" spans="9:10">
      <c r="I742" s="78"/>
      <c r="J742" s="78"/>
    </row>
    <row r="743" spans="9:10">
      <c r="I743" s="78"/>
      <c r="J743" s="78"/>
    </row>
    <row r="744" spans="9:10">
      <c r="I744" s="78"/>
      <c r="J744" s="78"/>
    </row>
    <row r="745" spans="9:10">
      <c r="I745" s="78"/>
      <c r="J745" s="78"/>
    </row>
    <row r="746" spans="9:10">
      <c r="I746" s="78"/>
      <c r="J746" s="78"/>
    </row>
    <row r="747" spans="9:10">
      <c r="I747" s="78"/>
      <c r="J747" s="78"/>
    </row>
    <row r="748" spans="9:10">
      <c r="I748" s="78"/>
      <c r="J748" s="78"/>
    </row>
    <row r="749" spans="9:10">
      <c r="I749" s="78"/>
      <c r="J749" s="78"/>
    </row>
    <row r="750" spans="9:10">
      <c r="I750" s="78"/>
      <c r="J750" s="78"/>
    </row>
    <row r="751" spans="9:10">
      <c r="I751" s="78"/>
      <c r="J751" s="78"/>
    </row>
    <row r="752" spans="9:10">
      <c r="I752" s="78"/>
      <c r="J752" s="78"/>
    </row>
    <row r="753" spans="9:10">
      <c r="I753" s="78"/>
      <c r="J753" s="78"/>
    </row>
    <row r="754" spans="9:10">
      <c r="I754" s="78"/>
      <c r="J754" s="78"/>
    </row>
    <row r="755" spans="9:10">
      <c r="I755" s="78"/>
      <c r="J755" s="78"/>
    </row>
    <row r="756" spans="9:10">
      <c r="I756" s="78"/>
      <c r="J756" s="78"/>
    </row>
    <row r="757" spans="9:10">
      <c r="I757" s="78"/>
      <c r="J757" s="78"/>
    </row>
    <row r="758" spans="9:10">
      <c r="I758" s="78"/>
      <c r="J758" s="78"/>
    </row>
    <row r="759" spans="9:10">
      <c r="I759" s="78"/>
      <c r="J759" s="78"/>
    </row>
    <row r="760" spans="9:10">
      <c r="I760" s="78"/>
      <c r="J760" s="78"/>
    </row>
    <row r="761" spans="9:10">
      <c r="I761" s="78"/>
      <c r="J761" s="78"/>
    </row>
    <row r="762" spans="9:10">
      <c r="I762" s="78"/>
      <c r="J762" s="78"/>
    </row>
    <row r="763" spans="9:10">
      <c r="I763" s="78"/>
      <c r="J763" s="78"/>
    </row>
    <row r="764" spans="9:10">
      <c r="I764" s="78"/>
      <c r="J764" s="78"/>
    </row>
    <row r="765" spans="9:10">
      <c r="I765" s="78"/>
      <c r="J765" s="78"/>
    </row>
    <row r="766" spans="9:10">
      <c r="I766" s="78"/>
      <c r="J766" s="78"/>
    </row>
    <row r="767" spans="9:10">
      <c r="I767" s="78"/>
      <c r="J767" s="78"/>
    </row>
    <row r="768" spans="9:10">
      <c r="I768" s="78"/>
      <c r="J768" s="78"/>
    </row>
    <row r="769" spans="9:10">
      <c r="I769" s="78"/>
      <c r="J769" s="78"/>
    </row>
    <row r="770" spans="9:10">
      <c r="I770" s="78"/>
      <c r="J770" s="78"/>
    </row>
    <row r="771" spans="9:10">
      <c r="I771" s="78"/>
      <c r="J771" s="78"/>
    </row>
    <row r="772" spans="9:10">
      <c r="I772" s="78"/>
      <c r="J772" s="78"/>
    </row>
    <row r="773" spans="9:10">
      <c r="I773" s="78"/>
      <c r="J773" s="78"/>
    </row>
    <row r="774" spans="9:10">
      <c r="I774" s="78"/>
      <c r="J774" s="78"/>
    </row>
    <row r="775" spans="9:10">
      <c r="I775" s="78"/>
      <c r="J775" s="78"/>
    </row>
    <row r="776" spans="9:10">
      <c r="I776" s="78"/>
      <c r="J776" s="78"/>
    </row>
    <row r="777" spans="9:10">
      <c r="I777" s="78"/>
      <c r="J777" s="78"/>
    </row>
    <row r="778" spans="9:10">
      <c r="I778" s="78"/>
      <c r="J778" s="78"/>
    </row>
    <row r="779" spans="9:10">
      <c r="I779" s="78"/>
      <c r="J779" s="78"/>
    </row>
    <row r="780" spans="9:10">
      <c r="I780" s="78"/>
      <c r="J780" s="78"/>
    </row>
    <row r="781" spans="9:10">
      <c r="I781" s="78"/>
      <c r="J781" s="78"/>
    </row>
    <row r="782" spans="9:10">
      <c r="I782" s="78"/>
      <c r="J782" s="78"/>
    </row>
    <row r="783" spans="9:10">
      <c r="I783" s="78"/>
      <c r="J783" s="78"/>
    </row>
    <row r="784" spans="9:10">
      <c r="I784" s="78"/>
      <c r="J784" s="78"/>
    </row>
    <row r="785" spans="9:10">
      <c r="I785" s="78"/>
      <c r="J785" s="78"/>
    </row>
    <row r="786" spans="9:10">
      <c r="I786" s="78"/>
      <c r="J786" s="78"/>
    </row>
    <row r="787" spans="9:10">
      <c r="I787" s="78"/>
      <c r="J787" s="78"/>
    </row>
    <row r="788" spans="9:10">
      <c r="I788" s="78"/>
      <c r="J788" s="78"/>
    </row>
    <row r="789" spans="9:10">
      <c r="I789" s="78"/>
      <c r="J789" s="78"/>
    </row>
    <row r="790" spans="9:10">
      <c r="I790" s="78"/>
      <c r="J790" s="78"/>
    </row>
    <row r="791" spans="9:10">
      <c r="I791" s="78"/>
      <c r="J791" s="78"/>
    </row>
    <row r="792" spans="9:10">
      <c r="I792" s="78"/>
      <c r="J792" s="78"/>
    </row>
    <row r="793" spans="9:10">
      <c r="I793" s="78"/>
      <c r="J793" s="78"/>
    </row>
    <row r="794" spans="9:10">
      <c r="I794" s="78"/>
      <c r="J794" s="78"/>
    </row>
    <row r="795" spans="9:10">
      <c r="I795" s="78"/>
      <c r="J795" s="78"/>
    </row>
    <row r="796" spans="9:10">
      <c r="I796" s="78"/>
      <c r="J796" s="78"/>
    </row>
    <row r="797" spans="9:10">
      <c r="I797" s="78"/>
      <c r="J797" s="78"/>
    </row>
    <row r="798" spans="9:10">
      <c r="I798" s="78"/>
      <c r="J798" s="78"/>
    </row>
    <row r="799" spans="9:10">
      <c r="I799" s="78"/>
      <c r="J799" s="78"/>
    </row>
    <row r="800" spans="9:10">
      <c r="I800" s="78"/>
      <c r="J800" s="78"/>
    </row>
    <row r="801" spans="9:10">
      <c r="I801" s="78"/>
      <c r="J801" s="78"/>
    </row>
    <row r="802" spans="9:10">
      <c r="I802" s="78"/>
      <c r="J802" s="78"/>
    </row>
    <row r="803" spans="9:10">
      <c r="I803" s="78"/>
      <c r="J803" s="78"/>
    </row>
    <row r="804" spans="9:10">
      <c r="I804" s="78"/>
      <c r="J804" s="78"/>
    </row>
    <row r="805" spans="9:10">
      <c r="I805" s="78"/>
      <c r="J805" s="78"/>
    </row>
    <row r="806" spans="9:10">
      <c r="I806" s="78"/>
      <c r="J806" s="78"/>
    </row>
    <row r="807" spans="9:10">
      <c r="I807" s="78"/>
      <c r="J807" s="78"/>
    </row>
    <row r="808" spans="9:10">
      <c r="I808" s="78"/>
      <c r="J808" s="78"/>
    </row>
    <row r="809" spans="9:10">
      <c r="I809" s="78"/>
      <c r="J809" s="78"/>
    </row>
    <row r="810" spans="9:10">
      <c r="I810" s="78"/>
      <c r="J810" s="78"/>
    </row>
    <row r="811" spans="9:10">
      <c r="I811" s="78"/>
      <c r="J811" s="78"/>
    </row>
    <row r="812" spans="9:10">
      <c r="I812" s="78"/>
      <c r="J812" s="78"/>
    </row>
    <row r="813" spans="9:10">
      <c r="I813" s="78"/>
      <c r="J813" s="78"/>
    </row>
    <row r="814" spans="9:10">
      <c r="I814" s="78"/>
      <c r="J814" s="78"/>
    </row>
    <row r="815" spans="9:10">
      <c r="I815" s="78"/>
      <c r="J815" s="78"/>
    </row>
    <row r="816" spans="9:10">
      <c r="I816" s="78"/>
      <c r="J816" s="78"/>
    </row>
    <row r="817" spans="9:10">
      <c r="I817" s="78"/>
      <c r="J817" s="78"/>
    </row>
    <row r="818" spans="9:10">
      <c r="I818" s="78"/>
      <c r="J818" s="78"/>
    </row>
    <row r="819" spans="9:10">
      <c r="I819" s="78"/>
      <c r="J819" s="78"/>
    </row>
    <row r="820" spans="9:10">
      <c r="I820" s="78"/>
      <c r="J820" s="78"/>
    </row>
    <row r="821" spans="9:10">
      <c r="I821" s="78"/>
      <c r="J821" s="78"/>
    </row>
    <row r="822" spans="9:10">
      <c r="I822" s="78"/>
      <c r="J822" s="78"/>
    </row>
    <row r="823" spans="9:10">
      <c r="I823" s="78"/>
      <c r="J823" s="78"/>
    </row>
    <row r="824" spans="9:10">
      <c r="I824" s="78"/>
      <c r="J824" s="78"/>
    </row>
    <row r="825" spans="9:10">
      <c r="I825" s="78"/>
      <c r="J825" s="78"/>
    </row>
    <row r="826" spans="9:10">
      <c r="I826" s="78"/>
      <c r="J826" s="78"/>
    </row>
    <row r="827" spans="9:10">
      <c r="I827" s="78"/>
      <c r="J827" s="78"/>
    </row>
    <row r="828" spans="9:10">
      <c r="I828" s="78"/>
      <c r="J828" s="78"/>
    </row>
    <row r="829" spans="9:10">
      <c r="I829" s="78"/>
      <c r="J829" s="78"/>
    </row>
    <row r="830" spans="9:10">
      <c r="I830" s="78"/>
      <c r="J830" s="78"/>
    </row>
    <row r="831" spans="9:10">
      <c r="I831" s="78"/>
      <c r="J831" s="78"/>
    </row>
    <row r="832" spans="9:10">
      <c r="I832" s="78"/>
      <c r="J832" s="78"/>
    </row>
    <row r="833" spans="9:10">
      <c r="I833" s="78"/>
      <c r="J833" s="78"/>
    </row>
    <row r="834" spans="9:10">
      <c r="I834" s="78"/>
      <c r="J834" s="78"/>
    </row>
    <row r="835" spans="9:10">
      <c r="I835" s="78"/>
      <c r="J835" s="78"/>
    </row>
    <row r="836" spans="9:10">
      <c r="I836" s="78"/>
      <c r="J836" s="78"/>
    </row>
    <row r="837" spans="9:10">
      <c r="I837" s="78"/>
      <c r="J837" s="78"/>
    </row>
    <row r="838" spans="9:10">
      <c r="I838" s="78"/>
      <c r="J838" s="78"/>
    </row>
    <row r="839" spans="9:10">
      <c r="I839" s="78"/>
      <c r="J839" s="78"/>
    </row>
    <row r="840" spans="9:10">
      <c r="I840" s="78"/>
      <c r="J840" s="78"/>
    </row>
    <row r="841" spans="9:10">
      <c r="I841" s="78"/>
      <c r="J841" s="78"/>
    </row>
    <row r="842" spans="9:10">
      <c r="I842" s="78"/>
      <c r="J842" s="78"/>
    </row>
    <row r="843" spans="9:10">
      <c r="I843" s="78"/>
      <c r="J843" s="78"/>
    </row>
    <row r="844" spans="9:10">
      <c r="I844" s="78"/>
      <c r="J844" s="78"/>
    </row>
    <row r="845" spans="9:10">
      <c r="I845" s="78"/>
      <c r="J845" s="78"/>
    </row>
    <row r="846" spans="9:10">
      <c r="I846" s="78"/>
      <c r="J846" s="78"/>
    </row>
    <row r="847" spans="9:10">
      <c r="I847" s="78"/>
      <c r="J847" s="78"/>
    </row>
    <row r="848" spans="9:10">
      <c r="I848" s="78"/>
      <c r="J848" s="78"/>
    </row>
    <row r="849" spans="9:10">
      <c r="I849" s="78"/>
      <c r="J849" s="78"/>
    </row>
    <row r="850" spans="9:10">
      <c r="I850" s="78"/>
      <c r="J850" s="78"/>
    </row>
    <row r="851" spans="9:10">
      <c r="I851" s="78"/>
      <c r="J851" s="78"/>
    </row>
    <row r="852" spans="9:10">
      <c r="I852" s="78"/>
      <c r="J852" s="78"/>
    </row>
    <row r="853" spans="9:10">
      <c r="I853" s="78"/>
      <c r="J853" s="78"/>
    </row>
    <row r="854" spans="9:10">
      <c r="I854" s="78"/>
      <c r="J854" s="78"/>
    </row>
    <row r="855" spans="9:10">
      <c r="I855" s="78"/>
      <c r="J855" s="78"/>
    </row>
    <row r="856" spans="9:10">
      <c r="I856" s="78"/>
      <c r="J856" s="78"/>
    </row>
    <row r="857" spans="9:10">
      <c r="I857" s="78"/>
      <c r="J857" s="78"/>
    </row>
    <row r="858" spans="9:10">
      <c r="I858" s="78"/>
      <c r="J858" s="78"/>
    </row>
    <row r="859" spans="9:10">
      <c r="I859" s="78"/>
      <c r="J859" s="78"/>
    </row>
    <row r="860" spans="9:10">
      <c r="I860" s="78"/>
      <c r="J860" s="78"/>
    </row>
    <row r="861" spans="9:10">
      <c r="I861" s="78"/>
      <c r="J861" s="78"/>
    </row>
    <row r="862" spans="9:10">
      <c r="I862" s="78"/>
      <c r="J862" s="78"/>
    </row>
    <row r="863" spans="9:10">
      <c r="I863" s="78"/>
      <c r="J863" s="78"/>
    </row>
    <row r="864" spans="9:10">
      <c r="I864" s="78"/>
      <c r="J864" s="78"/>
    </row>
    <row r="865" spans="9:10">
      <c r="I865" s="78"/>
      <c r="J865" s="78"/>
    </row>
    <row r="866" spans="9:10">
      <c r="I866" s="78"/>
      <c r="J866" s="78"/>
    </row>
    <row r="867" spans="9:10">
      <c r="I867" s="78"/>
      <c r="J867" s="78"/>
    </row>
    <row r="868" spans="9:10">
      <c r="I868" s="78"/>
      <c r="J868" s="78"/>
    </row>
    <row r="869" spans="9:10">
      <c r="I869" s="78"/>
      <c r="J869" s="78"/>
    </row>
    <row r="870" spans="9:10">
      <c r="I870" s="78"/>
      <c r="J870" s="78"/>
    </row>
    <row r="871" spans="9:10">
      <c r="I871" s="78"/>
      <c r="J871" s="78"/>
    </row>
    <row r="872" spans="9:10">
      <c r="I872" s="78"/>
      <c r="J872" s="78"/>
    </row>
    <row r="873" spans="9:10">
      <c r="I873" s="78"/>
      <c r="J873" s="78"/>
    </row>
    <row r="874" spans="9:10">
      <c r="I874" s="78"/>
      <c r="J874" s="78"/>
    </row>
    <row r="875" spans="9:10">
      <c r="I875" s="78"/>
      <c r="J875" s="78"/>
    </row>
    <row r="876" spans="9:10">
      <c r="I876" s="78"/>
      <c r="J876" s="78"/>
    </row>
    <row r="877" spans="9:10">
      <c r="I877" s="78"/>
      <c r="J877" s="78"/>
    </row>
    <row r="878" spans="9:10">
      <c r="I878" s="78"/>
      <c r="J878" s="78"/>
    </row>
    <row r="879" spans="9:10">
      <c r="I879" s="78"/>
      <c r="J879" s="78"/>
    </row>
    <row r="880" spans="9:10">
      <c r="I880" s="78"/>
      <c r="J880" s="78"/>
    </row>
    <row r="881" spans="9:10">
      <c r="I881" s="78"/>
      <c r="J881" s="78"/>
    </row>
    <row r="882" spans="9:10">
      <c r="I882" s="78"/>
      <c r="J882" s="78"/>
    </row>
    <row r="883" spans="9:10">
      <c r="I883" s="78"/>
      <c r="J883" s="78"/>
    </row>
    <row r="884" spans="9:10">
      <c r="I884" s="78"/>
      <c r="J884" s="78"/>
    </row>
    <row r="885" spans="9:10">
      <c r="I885" s="78"/>
      <c r="J885" s="78"/>
    </row>
    <row r="886" spans="9:10">
      <c r="I886" s="78"/>
      <c r="J886" s="78"/>
    </row>
    <row r="887" spans="9:10">
      <c r="I887" s="78"/>
      <c r="J887" s="78"/>
    </row>
    <row r="888" spans="9:10">
      <c r="I888" s="78"/>
      <c r="J888" s="78"/>
    </row>
    <row r="889" spans="9:10">
      <c r="I889" s="78"/>
      <c r="J889" s="78"/>
    </row>
    <row r="890" spans="9:10">
      <c r="I890" s="78"/>
      <c r="J890" s="78"/>
    </row>
    <row r="891" spans="9:10">
      <c r="I891" s="78"/>
      <c r="J891" s="78"/>
    </row>
    <row r="892" spans="9:10">
      <c r="I892" s="78"/>
      <c r="J892" s="78"/>
    </row>
    <row r="893" spans="9:10">
      <c r="I893" s="78"/>
      <c r="J893" s="78"/>
    </row>
    <row r="894" spans="9:10">
      <c r="I894" s="78"/>
      <c r="J894" s="78"/>
    </row>
    <row r="895" spans="9:10">
      <c r="I895" s="78"/>
      <c r="J895" s="78"/>
    </row>
    <row r="896" spans="9:10">
      <c r="I896" s="78"/>
      <c r="J896" s="78"/>
    </row>
    <row r="897" spans="9:10">
      <c r="I897" s="78"/>
      <c r="J897" s="78"/>
    </row>
    <row r="898" spans="9:10">
      <c r="I898" s="78"/>
      <c r="J898" s="78"/>
    </row>
    <row r="899" spans="9:10">
      <c r="I899" s="78"/>
      <c r="J899" s="78"/>
    </row>
    <row r="900" spans="9:10">
      <c r="I900" s="78"/>
      <c r="J900" s="78"/>
    </row>
    <row r="901" spans="9:10">
      <c r="I901" s="78"/>
      <c r="J901" s="78"/>
    </row>
    <row r="902" spans="9:10">
      <c r="I902" s="78"/>
      <c r="J902" s="78"/>
    </row>
    <row r="903" spans="9:10">
      <c r="I903" s="78"/>
      <c r="J903" s="78"/>
    </row>
    <row r="904" spans="9:10">
      <c r="I904" s="78"/>
      <c r="J904" s="78"/>
    </row>
    <row r="905" spans="9:10">
      <c r="I905" s="78"/>
      <c r="J905" s="78"/>
    </row>
    <row r="906" spans="9:10">
      <c r="I906" s="78"/>
      <c r="J906" s="78"/>
    </row>
    <row r="907" spans="9:10">
      <c r="I907" s="78"/>
      <c r="J907" s="78"/>
    </row>
    <row r="908" spans="9:10">
      <c r="I908" s="78"/>
      <c r="J908" s="78"/>
    </row>
    <row r="909" spans="9:10">
      <c r="I909" s="78"/>
      <c r="J909" s="78"/>
    </row>
    <row r="910" spans="9:10">
      <c r="I910" s="78"/>
      <c r="J910" s="78"/>
    </row>
    <row r="911" spans="9:10">
      <c r="I911" s="78"/>
      <c r="J911" s="78"/>
    </row>
    <row r="912" spans="9:10">
      <c r="I912" s="78"/>
      <c r="J912" s="78"/>
    </row>
    <row r="913" spans="9:10">
      <c r="I913" s="78"/>
      <c r="J913" s="78"/>
    </row>
    <row r="914" spans="9:10">
      <c r="I914" s="78"/>
      <c r="J914" s="78"/>
    </row>
    <row r="915" spans="9:10">
      <c r="I915" s="78"/>
      <c r="J915" s="78"/>
    </row>
    <row r="916" spans="9:10">
      <c r="I916" s="78"/>
      <c r="J916" s="78"/>
    </row>
    <row r="917" spans="9:10">
      <c r="I917" s="78"/>
      <c r="J917" s="78"/>
    </row>
    <row r="918" spans="9:10">
      <c r="I918" s="78"/>
      <c r="J918" s="78"/>
    </row>
    <row r="919" spans="9:10">
      <c r="I919" s="78"/>
      <c r="J919" s="78"/>
    </row>
    <row r="920" spans="9:10">
      <c r="I920" s="78"/>
      <c r="J920" s="78"/>
    </row>
    <row r="921" spans="9:10">
      <c r="I921" s="78"/>
      <c r="J921" s="78"/>
    </row>
    <row r="922" spans="9:10">
      <c r="I922" s="78"/>
      <c r="J922" s="78"/>
    </row>
    <row r="923" spans="9:10">
      <c r="I923" s="78"/>
      <c r="J923" s="78"/>
    </row>
    <row r="924" spans="9:10">
      <c r="I924" s="78"/>
      <c r="J924" s="78"/>
    </row>
    <row r="925" spans="9:10">
      <c r="I925" s="78"/>
      <c r="J925" s="78"/>
    </row>
    <row r="926" spans="9:10">
      <c r="I926" s="78"/>
      <c r="J926" s="78"/>
    </row>
    <row r="927" spans="9:10">
      <c r="I927" s="78"/>
      <c r="J927" s="78"/>
    </row>
    <row r="928" spans="9:10">
      <c r="I928" s="78"/>
      <c r="J928" s="78"/>
    </row>
    <row r="929" spans="9:10">
      <c r="I929" s="78"/>
      <c r="J929" s="78"/>
    </row>
    <row r="930" spans="9:10">
      <c r="I930" s="78"/>
      <c r="J930" s="78"/>
    </row>
    <row r="931" spans="9:10">
      <c r="I931" s="78"/>
      <c r="J931" s="78"/>
    </row>
    <row r="932" spans="9:10">
      <c r="I932" s="78"/>
      <c r="J932" s="78"/>
    </row>
    <row r="933" spans="9:10">
      <c r="I933" s="78"/>
      <c r="J933" s="78"/>
    </row>
    <row r="934" spans="9:10">
      <c r="I934" s="78"/>
      <c r="J934" s="78"/>
    </row>
    <row r="935" spans="9:10">
      <c r="I935" s="78"/>
      <c r="J935" s="78"/>
    </row>
    <row r="936" spans="9:10">
      <c r="I936" s="78"/>
      <c r="J936" s="78"/>
    </row>
    <row r="937" spans="9:10">
      <c r="I937" s="78"/>
      <c r="J937" s="78"/>
    </row>
    <row r="938" spans="9:10">
      <c r="I938" s="78"/>
      <c r="J938" s="78"/>
    </row>
    <row r="939" spans="9:10">
      <c r="I939" s="78"/>
      <c r="J939" s="78"/>
    </row>
    <row r="940" spans="9:10">
      <c r="I940" s="78"/>
      <c r="J940" s="78"/>
    </row>
    <row r="941" spans="9:10">
      <c r="I941" s="78"/>
      <c r="J941" s="78"/>
    </row>
    <row r="942" spans="9:10">
      <c r="I942" s="78"/>
      <c r="J942" s="78"/>
    </row>
    <row r="943" spans="9:10">
      <c r="I943" s="78"/>
      <c r="J943" s="78"/>
    </row>
    <row r="944" spans="9:10">
      <c r="I944" s="78"/>
      <c r="J944" s="78"/>
    </row>
    <row r="945" spans="9:10">
      <c r="I945" s="78"/>
      <c r="J945" s="78"/>
    </row>
    <row r="946" spans="9:10">
      <c r="I946" s="78"/>
      <c r="J946" s="78"/>
    </row>
    <row r="947" spans="9:10">
      <c r="I947" s="78"/>
      <c r="J947" s="78"/>
    </row>
    <row r="948" spans="9:10">
      <c r="I948" s="78"/>
      <c r="J948" s="78"/>
    </row>
    <row r="949" spans="9:10">
      <c r="I949" s="78"/>
      <c r="J949" s="78"/>
    </row>
    <row r="950" spans="9:10">
      <c r="I950" s="78"/>
      <c r="J950" s="78"/>
    </row>
    <row r="951" spans="9:10">
      <c r="I951" s="78"/>
      <c r="J951" s="78"/>
    </row>
    <row r="952" spans="9:10">
      <c r="I952" s="78"/>
      <c r="J952" s="78"/>
    </row>
    <row r="953" spans="9:10">
      <c r="I953" s="78"/>
      <c r="J953" s="78"/>
    </row>
    <row r="954" spans="9:10">
      <c r="I954" s="78"/>
      <c r="J954" s="78"/>
    </row>
    <row r="955" spans="9:10">
      <c r="I955" s="78"/>
      <c r="J955" s="78"/>
    </row>
    <row r="956" spans="9:10">
      <c r="I956" s="78"/>
      <c r="J956" s="78"/>
    </row>
    <row r="957" spans="9:10">
      <c r="I957" s="78"/>
      <c r="J957" s="78"/>
    </row>
    <row r="958" spans="9:10">
      <c r="I958" s="78"/>
      <c r="J958" s="78"/>
    </row>
    <row r="959" spans="9:10">
      <c r="I959" s="78"/>
      <c r="J959" s="78"/>
    </row>
    <row r="960" spans="9:10">
      <c r="I960" s="78"/>
      <c r="J960" s="78"/>
    </row>
    <row r="961" spans="9:10">
      <c r="I961" s="78"/>
      <c r="J961" s="78"/>
    </row>
    <row r="962" spans="9:10">
      <c r="I962" s="78"/>
      <c r="J962" s="78"/>
    </row>
    <row r="963" spans="9:10">
      <c r="I963" s="78"/>
      <c r="J963" s="78"/>
    </row>
    <row r="964" spans="9:10">
      <c r="I964" s="78"/>
      <c r="J964" s="78"/>
    </row>
    <row r="965" spans="9:10">
      <c r="I965" s="78"/>
      <c r="J965" s="78"/>
    </row>
    <row r="966" spans="9:10">
      <c r="I966" s="78"/>
      <c r="J966" s="78"/>
    </row>
    <row r="967" spans="9:10">
      <c r="I967" s="78"/>
      <c r="J967" s="78"/>
    </row>
    <row r="968" spans="9:10">
      <c r="I968" s="78"/>
      <c r="J968" s="78"/>
    </row>
    <row r="969" spans="9:10">
      <c r="I969" s="78"/>
      <c r="J969" s="78"/>
    </row>
    <row r="970" spans="9:10">
      <c r="I970" s="78"/>
      <c r="J970" s="78"/>
    </row>
    <row r="971" spans="9:10">
      <c r="I971" s="78"/>
      <c r="J971" s="78"/>
    </row>
    <row r="972" spans="9:10">
      <c r="I972" s="78"/>
      <c r="J972" s="78"/>
    </row>
    <row r="973" spans="9:10">
      <c r="I973" s="78"/>
      <c r="J973" s="78"/>
    </row>
    <row r="974" spans="9:10">
      <c r="I974" s="78"/>
      <c r="J974" s="78"/>
    </row>
    <row r="975" spans="9:10">
      <c r="I975" s="78"/>
      <c r="J975" s="78"/>
    </row>
    <row r="976" spans="9:10">
      <c r="I976" s="78"/>
      <c r="J976" s="78"/>
    </row>
    <row r="977" spans="9:10">
      <c r="I977" s="78"/>
      <c r="J977" s="78"/>
    </row>
    <row r="978" spans="9:10">
      <c r="I978" s="78"/>
      <c r="J978" s="78"/>
    </row>
    <row r="979" spans="9:10">
      <c r="I979" s="78"/>
      <c r="J979" s="78"/>
    </row>
    <row r="980" spans="9:10">
      <c r="I980" s="78"/>
      <c r="J980" s="78"/>
    </row>
    <row r="981" spans="9:10">
      <c r="I981" s="78"/>
      <c r="J981" s="78"/>
    </row>
    <row r="982" spans="9:10">
      <c r="I982" s="78"/>
      <c r="J982" s="78"/>
    </row>
    <row r="983" spans="9:10">
      <c r="I983" s="78"/>
      <c r="J983" s="78"/>
    </row>
    <row r="984" spans="9:10">
      <c r="I984" s="78"/>
      <c r="J984" s="78"/>
    </row>
    <row r="985" spans="9:10">
      <c r="I985" s="78"/>
      <c r="J985" s="78"/>
    </row>
    <row r="986" spans="9:10">
      <c r="I986" s="78"/>
      <c r="J986" s="78"/>
    </row>
    <row r="987" spans="9:10">
      <c r="I987" s="78"/>
      <c r="J987" s="78"/>
    </row>
    <row r="988" spans="9:10">
      <c r="I988" s="78"/>
      <c r="J988" s="78"/>
    </row>
    <row r="989" spans="9:10">
      <c r="I989" s="78"/>
      <c r="J989" s="78"/>
    </row>
    <row r="990" spans="9:10">
      <c r="I990" s="78"/>
      <c r="J990" s="78"/>
    </row>
    <row r="991" spans="9:10">
      <c r="I991" s="78"/>
      <c r="J991" s="78"/>
    </row>
    <row r="992" spans="9:10">
      <c r="I992" s="78"/>
      <c r="J992" s="78"/>
    </row>
    <row r="993" spans="9:10">
      <c r="I993" s="78"/>
      <c r="J993" s="78"/>
    </row>
    <row r="994" spans="9:10">
      <c r="I994" s="78"/>
      <c r="J994" s="78"/>
    </row>
    <row r="995" spans="9:10">
      <c r="I995" s="78"/>
      <c r="J995" s="78"/>
    </row>
    <row r="996" spans="9:10">
      <c r="I996" s="78"/>
      <c r="J996" s="78"/>
    </row>
    <row r="997" spans="9:10">
      <c r="I997" s="78"/>
      <c r="J997" s="78"/>
    </row>
    <row r="998" spans="9:10">
      <c r="I998" s="78"/>
      <c r="J998" s="78"/>
    </row>
    <row r="999" spans="9:10">
      <c r="I999" s="78"/>
      <c r="J999" s="78"/>
    </row>
    <row r="1000" spans="9:10">
      <c r="I1000" s="78"/>
      <c r="J1000" s="78"/>
    </row>
  </sheetData>
  <autoFilter ref="A4:V36" xr:uid="{00000000-0009-0000-0000-000001000000}"/>
  <mergeCells count="10">
    <mergeCell ref="O3:P3"/>
    <mergeCell ref="Q3:S3"/>
    <mergeCell ref="T3:U3"/>
    <mergeCell ref="A36:F36"/>
    <mergeCell ref="A1:H1"/>
    <mergeCell ref="A2:G2"/>
    <mergeCell ref="A3:G3"/>
    <mergeCell ref="I3:J3"/>
    <mergeCell ref="K3:L3"/>
    <mergeCell ref="M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K1" workbookViewId="0">
      <selection activeCell="V13" sqref="V1:V1048576"/>
    </sheetView>
  </sheetViews>
  <sheetFormatPr defaultColWidth="14.44140625" defaultRowHeight="14.4"/>
  <cols>
    <col min="2" max="2" width="16.5546875" bestFit="1" customWidth="1"/>
    <col min="3" max="3" width="25" bestFit="1" customWidth="1"/>
    <col min="4" max="4" width="17.33203125" bestFit="1" customWidth="1"/>
    <col min="5" max="7" width="14.44140625" hidden="1" customWidth="1"/>
    <col min="8" max="8" width="0.109375" customWidth="1"/>
    <col min="11" max="16" width="14.44140625" style="46"/>
    <col min="20" max="20" width="14.44140625" style="60"/>
    <col min="21" max="21" width="14.44140625" style="49"/>
  </cols>
  <sheetData>
    <row r="1" spans="1:21" ht="15" customHeight="1">
      <c r="A1" s="87" t="s">
        <v>0</v>
      </c>
      <c r="B1" s="88"/>
      <c r="C1" s="88"/>
      <c r="D1" s="88"/>
      <c r="E1" s="88"/>
      <c r="F1" s="88"/>
      <c r="G1" s="88"/>
      <c r="H1" s="88"/>
      <c r="I1" s="1"/>
      <c r="J1" s="1"/>
      <c r="K1" s="2"/>
      <c r="L1" s="2"/>
      <c r="M1" s="2"/>
      <c r="N1" s="2"/>
      <c r="O1" s="2"/>
      <c r="P1" s="2"/>
      <c r="Q1" s="1"/>
      <c r="R1" s="1"/>
      <c r="S1" s="1"/>
      <c r="T1" s="58"/>
    </row>
    <row r="2" spans="1:21" ht="15.6">
      <c r="A2" s="89" t="s">
        <v>87</v>
      </c>
      <c r="B2" s="90"/>
      <c r="C2" s="90"/>
      <c r="D2" s="90"/>
      <c r="E2" s="90"/>
      <c r="F2" s="90"/>
      <c r="G2" s="91"/>
      <c r="H2" s="5"/>
      <c r="I2" s="6"/>
      <c r="J2" s="6"/>
      <c r="K2" s="7"/>
      <c r="L2" s="7"/>
      <c r="M2" s="7"/>
      <c r="N2" s="7"/>
      <c r="O2" s="7"/>
      <c r="P2" s="7"/>
      <c r="Q2" s="6"/>
      <c r="R2" s="6"/>
      <c r="S2" s="6"/>
      <c r="T2" s="58"/>
    </row>
    <row r="3" spans="1:21" ht="15.6">
      <c r="A3" s="92" t="s">
        <v>88</v>
      </c>
      <c r="B3" s="93"/>
      <c r="C3" s="93"/>
      <c r="D3" s="93"/>
      <c r="E3" s="93"/>
      <c r="F3" s="93"/>
      <c r="G3" s="94"/>
      <c r="H3" s="5"/>
      <c r="I3" s="81" t="s">
        <v>3</v>
      </c>
      <c r="J3" s="83"/>
      <c r="K3" s="79" t="s">
        <v>4</v>
      </c>
      <c r="L3" s="80"/>
      <c r="M3" s="79" t="s">
        <v>5</v>
      </c>
      <c r="N3" s="80"/>
      <c r="O3" s="79" t="s">
        <v>6</v>
      </c>
      <c r="P3" s="80"/>
      <c r="Q3" s="81" t="s">
        <v>7</v>
      </c>
      <c r="R3" s="82"/>
      <c r="S3" s="83"/>
      <c r="T3" s="81" t="s">
        <v>81</v>
      </c>
      <c r="U3" s="82"/>
    </row>
    <row r="4" spans="1:21" s="14" customFormat="1" ht="15.6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9" t="s">
        <v>15</v>
      </c>
      <c r="H4" s="10"/>
      <c r="I4" s="51" t="s">
        <v>16</v>
      </c>
      <c r="J4" s="51" t="s">
        <v>17</v>
      </c>
      <c r="K4" s="52" t="s">
        <v>16</v>
      </c>
      <c r="L4" s="52" t="s">
        <v>17</v>
      </c>
      <c r="M4" s="52" t="s">
        <v>16</v>
      </c>
      <c r="N4" s="52" t="s">
        <v>17</v>
      </c>
      <c r="O4" s="52" t="s">
        <v>16</v>
      </c>
      <c r="P4" s="52" t="s">
        <v>17</v>
      </c>
      <c r="Q4" s="51" t="s">
        <v>16</v>
      </c>
      <c r="R4" s="51" t="s">
        <v>18</v>
      </c>
      <c r="S4" s="11" t="s">
        <v>17</v>
      </c>
      <c r="T4" s="12" t="s">
        <v>16</v>
      </c>
      <c r="U4" s="48" t="s">
        <v>18</v>
      </c>
    </row>
    <row r="5" spans="1:21" ht="15" customHeight="1">
      <c r="A5" s="15">
        <v>1</v>
      </c>
      <c r="B5" s="16" t="s">
        <v>19</v>
      </c>
      <c r="C5" s="16" t="s">
        <v>20</v>
      </c>
      <c r="D5" s="17" t="s">
        <v>84</v>
      </c>
      <c r="E5" s="18">
        <v>13</v>
      </c>
      <c r="F5" s="18">
        <v>680</v>
      </c>
      <c r="G5" s="19">
        <v>57980</v>
      </c>
      <c r="H5" s="20"/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f t="shared" ref="Q5:Q35" si="0">I5+K5+M5+O5</f>
        <v>0</v>
      </c>
      <c r="R5" s="56">
        <f>Q5-Q5*12/112</f>
        <v>0</v>
      </c>
      <c r="S5" s="50">
        <f t="shared" ref="S5:S35" si="1">J5+L5+N5+P5</f>
        <v>0</v>
      </c>
      <c r="T5" s="21">
        <v>339150</v>
      </c>
      <c r="U5" s="25">
        <v>287177.75</v>
      </c>
    </row>
    <row r="6" spans="1:21" ht="15" customHeight="1">
      <c r="A6" s="15">
        <v>2</v>
      </c>
      <c r="B6" s="16" t="s">
        <v>22</v>
      </c>
      <c r="C6" s="16" t="s">
        <v>23</v>
      </c>
      <c r="D6" s="17" t="s">
        <v>84</v>
      </c>
      <c r="E6" s="18">
        <v>13</v>
      </c>
      <c r="F6" s="18">
        <v>428</v>
      </c>
      <c r="G6" s="19">
        <v>57840</v>
      </c>
      <c r="H6" s="20"/>
      <c r="I6" s="55">
        <v>1150</v>
      </c>
      <c r="J6" s="55">
        <v>14</v>
      </c>
      <c r="K6" s="55">
        <v>1450</v>
      </c>
      <c r="L6" s="55">
        <v>16</v>
      </c>
      <c r="M6" s="55"/>
      <c r="N6" s="55"/>
      <c r="O6" s="55">
        <v>0</v>
      </c>
      <c r="P6" s="55">
        <v>0</v>
      </c>
      <c r="Q6" s="55">
        <f t="shared" si="0"/>
        <v>2600</v>
      </c>
      <c r="R6" s="56">
        <f t="shared" ref="R6:R35" si="2">Q6-Q6*12/112</f>
        <v>2321.4285714285716</v>
      </c>
      <c r="S6" s="50">
        <f t="shared" si="1"/>
        <v>30</v>
      </c>
      <c r="T6" s="21">
        <v>271655</v>
      </c>
      <c r="U6" s="25">
        <v>228487.07142857145</v>
      </c>
    </row>
    <row r="7" spans="1:21" ht="15" customHeight="1">
      <c r="A7" s="15">
        <v>3</v>
      </c>
      <c r="B7" s="24" t="s">
        <v>24</v>
      </c>
      <c r="C7" s="16" t="s">
        <v>25</v>
      </c>
      <c r="D7" s="17" t="s">
        <v>84</v>
      </c>
      <c r="E7" s="18">
        <v>13</v>
      </c>
      <c r="F7" s="18">
        <v>452</v>
      </c>
      <c r="G7" s="19">
        <v>45200</v>
      </c>
      <c r="H7" s="20"/>
      <c r="I7" s="55">
        <v>475</v>
      </c>
      <c r="J7" s="55">
        <v>5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5">
        <f t="shared" si="0"/>
        <v>475</v>
      </c>
      <c r="R7" s="56">
        <f t="shared" si="2"/>
        <v>424.10714285714283</v>
      </c>
      <c r="S7" s="50">
        <f t="shared" si="1"/>
        <v>5</v>
      </c>
      <c r="T7" s="21">
        <v>148245</v>
      </c>
      <c r="U7" s="25">
        <v>122614.17857142857</v>
      </c>
    </row>
    <row r="8" spans="1:21" ht="15" customHeight="1">
      <c r="A8" s="15">
        <v>4</v>
      </c>
      <c r="B8" s="24" t="s">
        <v>26</v>
      </c>
      <c r="C8" s="16" t="s">
        <v>27</v>
      </c>
      <c r="D8" s="17" t="s">
        <v>37</v>
      </c>
      <c r="E8" s="16">
        <v>6</v>
      </c>
      <c r="F8" s="18">
        <v>764</v>
      </c>
      <c r="G8" s="19">
        <v>94330</v>
      </c>
      <c r="H8" s="20"/>
      <c r="I8" s="55">
        <v>2975</v>
      </c>
      <c r="J8" s="55">
        <v>25</v>
      </c>
      <c r="K8" s="55">
        <v>5860</v>
      </c>
      <c r="L8" s="55">
        <v>48</v>
      </c>
      <c r="M8" s="55">
        <v>4805</v>
      </c>
      <c r="N8" s="55">
        <v>39</v>
      </c>
      <c r="O8" s="55">
        <v>2315</v>
      </c>
      <c r="P8" s="55">
        <v>17</v>
      </c>
      <c r="Q8" s="55">
        <f t="shared" si="0"/>
        <v>15955</v>
      </c>
      <c r="R8" s="56">
        <f t="shared" si="2"/>
        <v>14245.535714285714</v>
      </c>
      <c r="S8" s="50">
        <f t="shared" si="1"/>
        <v>129</v>
      </c>
      <c r="T8" s="21">
        <v>402095</v>
      </c>
      <c r="U8" s="25">
        <v>344930.17857142864</v>
      </c>
    </row>
    <row r="9" spans="1:21" ht="15" customHeight="1">
      <c r="A9" s="15">
        <v>5</v>
      </c>
      <c r="B9" s="24" t="s">
        <v>29</v>
      </c>
      <c r="C9" s="16" t="s">
        <v>30</v>
      </c>
      <c r="D9" s="17" t="s">
        <v>37</v>
      </c>
      <c r="E9" s="16">
        <v>6</v>
      </c>
      <c r="F9" s="18">
        <v>320</v>
      </c>
      <c r="G9" s="19">
        <v>46400</v>
      </c>
      <c r="H9" s="20"/>
      <c r="I9" s="55">
        <v>2185</v>
      </c>
      <c r="J9" s="55">
        <v>23</v>
      </c>
      <c r="K9" s="55">
        <v>1520</v>
      </c>
      <c r="L9" s="55">
        <v>16</v>
      </c>
      <c r="M9" s="55">
        <v>570</v>
      </c>
      <c r="N9" s="55">
        <v>6</v>
      </c>
      <c r="O9" s="55">
        <v>950</v>
      </c>
      <c r="P9" s="55">
        <v>10</v>
      </c>
      <c r="Q9" s="55">
        <f t="shared" si="0"/>
        <v>5225</v>
      </c>
      <c r="R9" s="56">
        <f t="shared" si="2"/>
        <v>4665.1785714285716</v>
      </c>
      <c r="S9" s="50">
        <f t="shared" si="1"/>
        <v>55</v>
      </c>
      <c r="T9" s="21">
        <v>118474</v>
      </c>
      <c r="U9" s="25">
        <v>108196.60714285713</v>
      </c>
    </row>
    <row r="10" spans="1:21" ht="15" customHeight="1">
      <c r="A10" s="15">
        <v>6</v>
      </c>
      <c r="B10" s="26" t="s">
        <v>31</v>
      </c>
      <c r="C10" s="16" t="s">
        <v>32</v>
      </c>
      <c r="D10" s="17" t="s">
        <v>37</v>
      </c>
      <c r="E10" s="16">
        <v>6</v>
      </c>
      <c r="F10" s="18">
        <v>410</v>
      </c>
      <c r="G10" s="19">
        <v>60270</v>
      </c>
      <c r="H10" s="20"/>
      <c r="I10" s="55">
        <v>873</v>
      </c>
      <c r="J10" s="55">
        <v>9</v>
      </c>
      <c r="K10" s="55">
        <v>1358</v>
      </c>
      <c r="L10" s="55">
        <v>14</v>
      </c>
      <c r="M10" s="55">
        <v>582</v>
      </c>
      <c r="N10" s="55">
        <v>6</v>
      </c>
      <c r="O10" s="55">
        <v>485</v>
      </c>
      <c r="P10" s="55">
        <v>5</v>
      </c>
      <c r="Q10" s="55">
        <f t="shared" si="0"/>
        <v>3298</v>
      </c>
      <c r="R10" s="56">
        <f t="shared" si="2"/>
        <v>2944.6428571428573</v>
      </c>
      <c r="S10" s="50">
        <f t="shared" si="1"/>
        <v>34</v>
      </c>
      <c r="T10" s="21">
        <v>110995</v>
      </c>
      <c r="U10" s="25">
        <v>93600.67857142858</v>
      </c>
    </row>
    <row r="11" spans="1:21" ht="15" customHeight="1">
      <c r="A11" s="15">
        <v>7</v>
      </c>
      <c r="B11" s="24" t="s">
        <v>34</v>
      </c>
      <c r="C11" s="16" t="s">
        <v>35</v>
      </c>
      <c r="D11" s="17" t="s">
        <v>37</v>
      </c>
      <c r="E11" s="16">
        <v>6</v>
      </c>
      <c r="F11" s="18">
        <v>414</v>
      </c>
      <c r="G11" s="19">
        <v>49630</v>
      </c>
      <c r="H11" s="20"/>
      <c r="I11" s="55">
        <v>1290</v>
      </c>
      <c r="J11" s="55">
        <v>14</v>
      </c>
      <c r="K11" s="55">
        <v>2415</v>
      </c>
      <c r="L11" s="55">
        <v>31</v>
      </c>
      <c r="M11" s="55">
        <v>885</v>
      </c>
      <c r="N11" s="55">
        <v>9</v>
      </c>
      <c r="O11" s="55">
        <v>2835</v>
      </c>
      <c r="P11" s="55">
        <v>31</v>
      </c>
      <c r="Q11" s="55">
        <f t="shared" si="0"/>
        <v>7425</v>
      </c>
      <c r="R11" s="56">
        <f t="shared" si="2"/>
        <v>6629.4642857142853</v>
      </c>
      <c r="S11" s="50">
        <f t="shared" si="1"/>
        <v>85</v>
      </c>
      <c r="T11" s="21">
        <v>220135</v>
      </c>
      <c r="U11" s="25">
        <v>187775.25000000003</v>
      </c>
    </row>
    <row r="12" spans="1:21" ht="15" customHeight="1">
      <c r="A12" s="15">
        <v>8</v>
      </c>
      <c r="B12" s="24" t="s">
        <v>24</v>
      </c>
      <c r="C12" s="16" t="s">
        <v>36</v>
      </c>
      <c r="D12" s="17" t="s">
        <v>37</v>
      </c>
      <c r="E12" s="16">
        <v>6</v>
      </c>
      <c r="F12" s="18">
        <v>312</v>
      </c>
      <c r="G12" s="19">
        <v>45240</v>
      </c>
      <c r="H12" s="20"/>
      <c r="I12" s="55">
        <v>2565</v>
      </c>
      <c r="J12" s="55">
        <v>27</v>
      </c>
      <c r="K12" s="55">
        <v>1615</v>
      </c>
      <c r="L12" s="55">
        <v>17</v>
      </c>
      <c r="M12" s="55">
        <v>665</v>
      </c>
      <c r="N12" s="55">
        <v>7</v>
      </c>
      <c r="O12" s="55">
        <v>0</v>
      </c>
      <c r="P12" s="55">
        <v>0</v>
      </c>
      <c r="Q12" s="55">
        <f t="shared" si="0"/>
        <v>4845</v>
      </c>
      <c r="R12" s="56">
        <f t="shared" si="2"/>
        <v>4325.8928571428569</v>
      </c>
      <c r="S12" s="50">
        <f t="shared" si="1"/>
        <v>51</v>
      </c>
      <c r="T12" s="21">
        <v>157795</v>
      </c>
      <c r="U12" s="25">
        <v>135050.14285714287</v>
      </c>
    </row>
    <row r="13" spans="1:21" ht="15" customHeight="1">
      <c r="A13" s="15">
        <v>9</v>
      </c>
      <c r="B13" s="24" t="s">
        <v>38</v>
      </c>
      <c r="C13" s="16" t="s">
        <v>39</v>
      </c>
      <c r="D13" s="17" t="s">
        <v>37</v>
      </c>
      <c r="E13" s="16">
        <v>6</v>
      </c>
      <c r="F13" s="18">
        <v>310</v>
      </c>
      <c r="G13" s="19">
        <v>44950</v>
      </c>
      <c r="H13" s="20"/>
      <c r="I13" s="55">
        <v>2030</v>
      </c>
      <c r="J13" s="55">
        <v>14</v>
      </c>
      <c r="K13" s="55">
        <v>1160</v>
      </c>
      <c r="L13" s="55">
        <v>8</v>
      </c>
      <c r="M13" s="55">
        <v>1740</v>
      </c>
      <c r="N13" s="55">
        <v>12</v>
      </c>
      <c r="O13" s="55">
        <v>2175</v>
      </c>
      <c r="P13" s="55">
        <v>15</v>
      </c>
      <c r="Q13" s="55">
        <f t="shared" si="0"/>
        <v>7105</v>
      </c>
      <c r="R13" s="56">
        <f t="shared" si="2"/>
        <v>6343.75</v>
      </c>
      <c r="S13" s="50">
        <f t="shared" si="1"/>
        <v>49</v>
      </c>
      <c r="T13" s="21">
        <v>165155</v>
      </c>
      <c r="U13" s="25">
        <v>140060.82142857142</v>
      </c>
    </row>
    <row r="14" spans="1:21" s="37" customFormat="1" ht="15" customHeight="1">
      <c r="A14" s="27">
        <v>10</v>
      </c>
      <c r="B14" s="24" t="s">
        <v>40</v>
      </c>
      <c r="C14" s="28" t="s">
        <v>41</v>
      </c>
      <c r="D14" s="29" t="s">
        <v>37</v>
      </c>
      <c r="E14" s="16">
        <v>6</v>
      </c>
      <c r="F14" s="30">
        <v>458</v>
      </c>
      <c r="G14" s="31">
        <v>43510</v>
      </c>
      <c r="H14" s="32"/>
      <c r="I14" s="57">
        <v>2280</v>
      </c>
      <c r="J14" s="57">
        <v>24</v>
      </c>
      <c r="K14" s="57">
        <v>1900</v>
      </c>
      <c r="L14" s="57">
        <v>20</v>
      </c>
      <c r="M14" s="57">
        <v>1045</v>
      </c>
      <c r="N14" s="57">
        <v>11</v>
      </c>
      <c r="O14" s="57">
        <v>0</v>
      </c>
      <c r="P14" s="57">
        <v>0</v>
      </c>
      <c r="Q14" s="55">
        <f t="shared" si="0"/>
        <v>5225</v>
      </c>
      <c r="R14" s="56">
        <f t="shared" si="2"/>
        <v>4665.1785714285716</v>
      </c>
      <c r="S14" s="50">
        <f t="shared" si="1"/>
        <v>55</v>
      </c>
      <c r="T14" s="21">
        <v>131147</v>
      </c>
      <c r="U14" s="25">
        <v>122261.96428571428</v>
      </c>
    </row>
    <row r="15" spans="1:21" s="37" customFormat="1" ht="15" customHeight="1">
      <c r="A15" s="27">
        <v>11</v>
      </c>
      <c r="B15" s="24" t="s">
        <v>42</v>
      </c>
      <c r="C15" s="28" t="s">
        <v>43</v>
      </c>
      <c r="D15" s="29" t="s">
        <v>37</v>
      </c>
      <c r="E15" s="16">
        <v>6</v>
      </c>
      <c r="F15" s="30">
        <v>580</v>
      </c>
      <c r="G15" s="31">
        <v>55100</v>
      </c>
      <c r="H15" s="32"/>
      <c r="I15" s="57">
        <v>0</v>
      </c>
      <c r="J15" s="57">
        <v>0</v>
      </c>
      <c r="K15" s="57">
        <v>0</v>
      </c>
      <c r="L15" s="57">
        <v>0</v>
      </c>
      <c r="M15" s="57">
        <v>0</v>
      </c>
      <c r="N15" s="57">
        <v>0</v>
      </c>
      <c r="O15" s="57">
        <v>0</v>
      </c>
      <c r="P15" s="57">
        <v>0</v>
      </c>
      <c r="Q15" s="55">
        <f t="shared" si="0"/>
        <v>0</v>
      </c>
      <c r="R15" s="56">
        <f t="shared" si="2"/>
        <v>0</v>
      </c>
      <c r="S15" s="50">
        <f t="shared" si="1"/>
        <v>0</v>
      </c>
      <c r="T15" s="21">
        <v>25451</v>
      </c>
      <c r="U15" s="25">
        <v>24598.285714285714</v>
      </c>
    </row>
    <row r="16" spans="1:21" s="37" customFormat="1" ht="15" customHeight="1">
      <c r="A16" s="27">
        <v>12</v>
      </c>
      <c r="B16" s="24" t="s">
        <v>44</v>
      </c>
      <c r="C16" s="28" t="s">
        <v>45</v>
      </c>
      <c r="D16" s="29" t="s">
        <v>37</v>
      </c>
      <c r="E16" s="16">
        <v>6</v>
      </c>
      <c r="F16" s="30">
        <v>311</v>
      </c>
      <c r="G16" s="31">
        <v>29545</v>
      </c>
      <c r="H16" s="32"/>
      <c r="I16" s="57">
        <v>3500</v>
      </c>
      <c r="J16" s="57">
        <v>35</v>
      </c>
      <c r="K16" s="57">
        <v>0</v>
      </c>
      <c r="L16" s="57">
        <v>0</v>
      </c>
      <c r="M16" s="57">
        <v>0</v>
      </c>
      <c r="N16" s="57">
        <v>0</v>
      </c>
      <c r="O16" s="57">
        <v>0</v>
      </c>
      <c r="P16" s="57">
        <v>0</v>
      </c>
      <c r="Q16" s="55">
        <f t="shared" si="0"/>
        <v>3500</v>
      </c>
      <c r="R16" s="56">
        <f t="shared" si="2"/>
        <v>3125</v>
      </c>
      <c r="S16" s="50">
        <f t="shared" si="1"/>
        <v>35</v>
      </c>
      <c r="T16" s="21">
        <v>142341</v>
      </c>
      <c r="U16" s="25">
        <v>133036</v>
      </c>
    </row>
    <row r="17" spans="1:21" s="37" customFormat="1" ht="15" customHeight="1">
      <c r="A17" s="27">
        <v>13</v>
      </c>
      <c r="B17" s="24" t="s">
        <v>46</v>
      </c>
      <c r="C17" s="28" t="s">
        <v>47</v>
      </c>
      <c r="D17" s="29" t="s">
        <v>37</v>
      </c>
      <c r="E17" s="16">
        <v>6</v>
      </c>
      <c r="F17" s="30">
        <v>302</v>
      </c>
      <c r="G17" s="31">
        <v>28550</v>
      </c>
      <c r="H17" s="32"/>
      <c r="I17" s="57">
        <v>0</v>
      </c>
      <c r="J17" s="57">
        <v>0</v>
      </c>
      <c r="K17" s="57">
        <v>475</v>
      </c>
      <c r="L17" s="57">
        <v>5</v>
      </c>
      <c r="M17" s="57">
        <v>475</v>
      </c>
      <c r="N17" s="57">
        <v>5</v>
      </c>
      <c r="O17" s="57">
        <v>570</v>
      </c>
      <c r="P17" s="57">
        <v>6</v>
      </c>
      <c r="Q17" s="55">
        <f t="shared" si="0"/>
        <v>1520</v>
      </c>
      <c r="R17" s="56">
        <f t="shared" si="2"/>
        <v>1357.1428571428571</v>
      </c>
      <c r="S17" s="50">
        <f t="shared" si="1"/>
        <v>16</v>
      </c>
      <c r="T17" s="21">
        <v>87658</v>
      </c>
      <c r="U17" s="25">
        <v>74724.28571428571</v>
      </c>
    </row>
    <row r="18" spans="1:21" s="37" customFormat="1" ht="15" customHeight="1">
      <c r="A18" s="27">
        <v>14</v>
      </c>
      <c r="B18" s="24" t="s">
        <v>48</v>
      </c>
      <c r="C18" s="28" t="s">
        <v>49</v>
      </c>
      <c r="D18" s="29" t="s">
        <v>37</v>
      </c>
      <c r="E18" s="16">
        <v>6</v>
      </c>
      <c r="F18" s="30">
        <v>847</v>
      </c>
      <c r="G18" s="31">
        <v>94415</v>
      </c>
      <c r="H18" s="32"/>
      <c r="I18" s="57">
        <v>3300</v>
      </c>
      <c r="J18" s="57">
        <v>30</v>
      </c>
      <c r="K18" s="57">
        <v>3840</v>
      </c>
      <c r="L18" s="57">
        <v>32</v>
      </c>
      <c r="M18" s="57">
        <v>2405</v>
      </c>
      <c r="N18" s="57">
        <v>19</v>
      </c>
      <c r="O18" s="57">
        <v>0</v>
      </c>
      <c r="P18" s="57">
        <v>0</v>
      </c>
      <c r="Q18" s="55">
        <f t="shared" si="0"/>
        <v>9545</v>
      </c>
      <c r="R18" s="56">
        <f t="shared" si="2"/>
        <v>8522.3214285714294</v>
      </c>
      <c r="S18" s="50">
        <f t="shared" si="1"/>
        <v>81</v>
      </c>
      <c r="T18" s="21">
        <v>502890</v>
      </c>
      <c r="U18" s="25">
        <v>436528.57142857142</v>
      </c>
    </row>
    <row r="19" spans="1:21" s="37" customFormat="1" ht="15" customHeight="1">
      <c r="A19" s="27">
        <v>15</v>
      </c>
      <c r="B19" s="28" t="s">
        <v>50</v>
      </c>
      <c r="C19" s="28" t="s">
        <v>51</v>
      </c>
      <c r="D19" s="29" t="s">
        <v>37</v>
      </c>
      <c r="E19" s="16">
        <v>6</v>
      </c>
      <c r="F19" s="30">
        <v>275</v>
      </c>
      <c r="G19" s="31">
        <v>28875</v>
      </c>
      <c r="H19" s="32"/>
      <c r="I19" s="57">
        <v>1470</v>
      </c>
      <c r="J19" s="57">
        <v>14</v>
      </c>
      <c r="K19" s="57">
        <v>1995</v>
      </c>
      <c r="L19" s="57">
        <v>19</v>
      </c>
      <c r="M19" s="57">
        <v>1365</v>
      </c>
      <c r="N19" s="57">
        <v>13</v>
      </c>
      <c r="O19" s="57">
        <v>945</v>
      </c>
      <c r="P19" s="57">
        <v>9</v>
      </c>
      <c r="Q19" s="55">
        <f t="shared" si="0"/>
        <v>5775</v>
      </c>
      <c r="R19" s="56">
        <f t="shared" si="2"/>
        <v>5156.25</v>
      </c>
      <c r="S19" s="50">
        <f t="shared" si="1"/>
        <v>55</v>
      </c>
      <c r="T19" s="21">
        <v>105020</v>
      </c>
      <c r="U19" s="25">
        <v>93118.07142857142</v>
      </c>
    </row>
    <row r="20" spans="1:21" s="37" customFormat="1" ht="15" customHeight="1">
      <c r="A20" s="27">
        <v>16</v>
      </c>
      <c r="B20" s="28" t="s">
        <v>53</v>
      </c>
      <c r="C20" s="28" t="s">
        <v>32</v>
      </c>
      <c r="D20" s="29" t="s">
        <v>37</v>
      </c>
      <c r="E20" s="16">
        <v>6</v>
      </c>
      <c r="F20" s="30">
        <v>550</v>
      </c>
      <c r="G20" s="31">
        <v>63750</v>
      </c>
      <c r="H20" s="32"/>
      <c r="I20" s="57">
        <v>1260</v>
      </c>
      <c r="J20" s="57">
        <v>12</v>
      </c>
      <c r="K20" s="57">
        <v>315</v>
      </c>
      <c r="L20" s="57">
        <v>3</v>
      </c>
      <c r="M20" s="57">
        <v>630</v>
      </c>
      <c r="N20" s="57">
        <v>6</v>
      </c>
      <c r="O20" s="57">
        <v>1050</v>
      </c>
      <c r="P20" s="57">
        <v>10</v>
      </c>
      <c r="Q20" s="55">
        <f t="shared" si="0"/>
        <v>3255</v>
      </c>
      <c r="R20" s="56">
        <f t="shared" si="2"/>
        <v>2906.25</v>
      </c>
      <c r="S20" s="50">
        <f t="shared" si="1"/>
        <v>31</v>
      </c>
      <c r="T20" s="21">
        <v>153835</v>
      </c>
      <c r="U20" s="25">
        <v>131257.32142857142</v>
      </c>
    </row>
    <row r="21" spans="1:21" s="37" customFormat="1" ht="15" customHeight="1">
      <c r="A21" s="27">
        <v>17</v>
      </c>
      <c r="B21" s="28" t="s">
        <v>54</v>
      </c>
      <c r="C21" s="28" t="s">
        <v>55</v>
      </c>
      <c r="D21" s="29" t="s">
        <v>37</v>
      </c>
      <c r="E21" s="16">
        <v>6</v>
      </c>
      <c r="F21" s="30">
        <v>570</v>
      </c>
      <c r="G21" s="31">
        <v>26250</v>
      </c>
      <c r="H21" s="32"/>
      <c r="I21" s="57">
        <v>945</v>
      </c>
      <c r="J21" s="57">
        <v>9</v>
      </c>
      <c r="K21" s="57">
        <v>735</v>
      </c>
      <c r="L21" s="57">
        <v>7</v>
      </c>
      <c r="M21" s="57">
        <v>1155</v>
      </c>
      <c r="N21" s="57">
        <v>11</v>
      </c>
      <c r="O21" s="57">
        <v>525</v>
      </c>
      <c r="P21" s="57">
        <v>5</v>
      </c>
      <c r="Q21" s="55">
        <f t="shared" si="0"/>
        <v>3360</v>
      </c>
      <c r="R21" s="56">
        <f t="shared" si="2"/>
        <v>3000</v>
      </c>
      <c r="S21" s="50">
        <f t="shared" si="1"/>
        <v>32</v>
      </c>
      <c r="T21" s="21">
        <v>18026</v>
      </c>
      <c r="U21" s="25">
        <v>16601.25</v>
      </c>
    </row>
    <row r="22" spans="1:21" s="37" customFormat="1" ht="15" customHeight="1">
      <c r="A22" s="27">
        <v>18</v>
      </c>
      <c r="B22" s="28" t="s">
        <v>56</v>
      </c>
      <c r="C22" s="28" t="s">
        <v>57</v>
      </c>
      <c r="D22" s="29" t="s">
        <v>37</v>
      </c>
      <c r="E22" s="16">
        <v>6</v>
      </c>
      <c r="F22" s="30">
        <v>400</v>
      </c>
      <c r="G22" s="31">
        <v>38000</v>
      </c>
      <c r="H22" s="32"/>
      <c r="I22" s="57">
        <v>0</v>
      </c>
      <c r="J22" s="57">
        <v>0</v>
      </c>
      <c r="K22" s="57">
        <v>1140</v>
      </c>
      <c r="L22" s="57">
        <v>12</v>
      </c>
      <c r="M22" s="57">
        <v>0</v>
      </c>
      <c r="N22" s="57">
        <v>0</v>
      </c>
      <c r="O22" s="57">
        <v>0</v>
      </c>
      <c r="P22" s="57">
        <v>0</v>
      </c>
      <c r="Q22" s="55">
        <f t="shared" si="0"/>
        <v>1140</v>
      </c>
      <c r="R22" s="56">
        <f t="shared" si="2"/>
        <v>1017.8571428571429</v>
      </c>
      <c r="S22" s="50">
        <f t="shared" si="1"/>
        <v>12</v>
      </c>
      <c r="T22" s="21">
        <v>46682</v>
      </c>
      <c r="U22" s="25">
        <v>40393.928571428572</v>
      </c>
    </row>
    <row r="23" spans="1:21" s="37" customFormat="1" ht="15" customHeight="1">
      <c r="A23" s="27">
        <v>19</v>
      </c>
      <c r="B23" s="28" t="s">
        <v>58</v>
      </c>
      <c r="C23" s="28" t="s">
        <v>57</v>
      </c>
      <c r="D23" s="29" t="s">
        <v>37</v>
      </c>
      <c r="E23" s="16">
        <v>6</v>
      </c>
      <c r="F23" s="30">
        <v>180</v>
      </c>
      <c r="G23" s="31">
        <v>17100</v>
      </c>
      <c r="H23" s="32"/>
      <c r="I23" s="57">
        <v>0</v>
      </c>
      <c r="J23" s="57">
        <v>0</v>
      </c>
      <c r="K23" s="57">
        <v>380</v>
      </c>
      <c r="L23" s="57">
        <v>4</v>
      </c>
      <c r="M23" s="57">
        <v>0</v>
      </c>
      <c r="N23" s="57">
        <v>0</v>
      </c>
      <c r="O23" s="57">
        <v>0</v>
      </c>
      <c r="P23" s="57">
        <v>0</v>
      </c>
      <c r="Q23" s="55">
        <f t="shared" si="0"/>
        <v>380</v>
      </c>
      <c r="R23" s="56">
        <f t="shared" si="2"/>
        <v>339.28571428571428</v>
      </c>
      <c r="S23" s="50">
        <f t="shared" si="1"/>
        <v>4</v>
      </c>
      <c r="T23" s="21">
        <v>26125</v>
      </c>
      <c r="U23" s="25">
        <v>22324.714285714286</v>
      </c>
    </row>
    <row r="24" spans="1:21" s="37" customFormat="1" ht="15" customHeight="1">
      <c r="A24" s="27">
        <v>20</v>
      </c>
      <c r="B24" s="28" t="s">
        <v>59</v>
      </c>
      <c r="C24" s="28" t="s">
        <v>60</v>
      </c>
      <c r="D24" s="29" t="s">
        <v>37</v>
      </c>
      <c r="E24" s="16">
        <v>6</v>
      </c>
      <c r="F24" s="30">
        <v>400</v>
      </c>
      <c r="G24" s="31">
        <v>38000</v>
      </c>
      <c r="H24" s="32"/>
      <c r="I24" s="57">
        <v>2000</v>
      </c>
      <c r="J24" s="57">
        <v>20</v>
      </c>
      <c r="K24" s="57">
        <v>2500</v>
      </c>
      <c r="L24" s="57">
        <v>25</v>
      </c>
      <c r="M24" s="57">
        <v>700</v>
      </c>
      <c r="N24" s="57">
        <v>7</v>
      </c>
      <c r="O24" s="57">
        <v>700</v>
      </c>
      <c r="P24" s="57">
        <v>7</v>
      </c>
      <c r="Q24" s="55">
        <f t="shared" si="0"/>
        <v>5900</v>
      </c>
      <c r="R24" s="56">
        <f t="shared" si="2"/>
        <v>5267.8571428571431</v>
      </c>
      <c r="S24" s="50">
        <f t="shared" si="1"/>
        <v>59</v>
      </c>
      <c r="T24" s="21">
        <v>108386</v>
      </c>
      <c r="U24" s="25">
        <v>103498.71428571429</v>
      </c>
    </row>
    <row r="25" spans="1:21" s="37" customFormat="1" ht="15" customHeight="1">
      <c r="A25" s="27">
        <v>21</v>
      </c>
      <c r="B25" s="28" t="s">
        <v>61</v>
      </c>
      <c r="C25" s="28" t="s">
        <v>62</v>
      </c>
      <c r="D25" s="29" t="s">
        <v>37</v>
      </c>
      <c r="E25" s="16">
        <v>6</v>
      </c>
      <c r="F25" s="30">
        <v>370</v>
      </c>
      <c r="G25" s="31">
        <v>28750</v>
      </c>
      <c r="H25" s="32"/>
      <c r="I25" s="57">
        <v>300</v>
      </c>
      <c r="J25" s="57">
        <v>3</v>
      </c>
      <c r="K25" s="57">
        <v>300</v>
      </c>
      <c r="L25" s="57">
        <v>3</v>
      </c>
      <c r="M25" s="57">
        <v>400</v>
      </c>
      <c r="N25" s="57">
        <v>4</v>
      </c>
      <c r="O25" s="57">
        <v>0</v>
      </c>
      <c r="P25" s="57">
        <v>0</v>
      </c>
      <c r="Q25" s="55">
        <f t="shared" si="0"/>
        <v>1000</v>
      </c>
      <c r="R25" s="56">
        <f t="shared" si="2"/>
        <v>892.85714285714289</v>
      </c>
      <c r="S25" s="50">
        <f t="shared" si="1"/>
        <v>10</v>
      </c>
      <c r="T25" s="21">
        <v>29893</v>
      </c>
      <c r="U25" s="25">
        <v>26181.428571428572</v>
      </c>
    </row>
    <row r="26" spans="1:21" s="37" customFormat="1" ht="15" customHeight="1">
      <c r="A26" s="27">
        <v>22</v>
      </c>
      <c r="B26" s="28" t="s">
        <v>63</v>
      </c>
      <c r="C26" s="28" t="s">
        <v>57</v>
      </c>
      <c r="D26" s="29" t="s">
        <v>37</v>
      </c>
      <c r="E26" s="16">
        <v>6</v>
      </c>
      <c r="F26" s="30">
        <v>664</v>
      </c>
      <c r="G26" s="31">
        <v>21088</v>
      </c>
      <c r="H26" s="32"/>
      <c r="I26" s="57">
        <v>0</v>
      </c>
      <c r="J26" s="57">
        <v>0</v>
      </c>
      <c r="K26" s="57">
        <v>575</v>
      </c>
      <c r="L26" s="57">
        <v>5</v>
      </c>
      <c r="M26" s="57"/>
      <c r="N26" s="57"/>
      <c r="O26" s="57">
        <v>0</v>
      </c>
      <c r="P26" s="57">
        <v>0</v>
      </c>
      <c r="Q26" s="55">
        <f t="shared" si="0"/>
        <v>575</v>
      </c>
      <c r="R26" s="56">
        <f t="shared" si="2"/>
        <v>513.39285714285711</v>
      </c>
      <c r="S26" s="50">
        <f t="shared" si="1"/>
        <v>5</v>
      </c>
      <c r="T26" s="21">
        <v>71620</v>
      </c>
      <c r="U26" s="25">
        <v>60616.071428571428</v>
      </c>
    </row>
    <row r="27" spans="1:21" s="37" customFormat="1" ht="17.399999999999999">
      <c r="A27" s="27">
        <v>23</v>
      </c>
      <c r="B27" s="24" t="s">
        <v>64</v>
      </c>
      <c r="C27" s="28" t="s">
        <v>85</v>
      </c>
      <c r="D27" s="29" t="s">
        <v>37</v>
      </c>
      <c r="E27" s="16">
        <v>6</v>
      </c>
      <c r="F27" s="30">
        <v>525</v>
      </c>
      <c r="G27" s="31">
        <v>42975</v>
      </c>
      <c r="H27" s="32"/>
      <c r="I27" s="57">
        <v>1340</v>
      </c>
      <c r="J27" s="57">
        <v>12</v>
      </c>
      <c r="K27" s="57">
        <v>1720</v>
      </c>
      <c r="L27" s="57">
        <v>6</v>
      </c>
      <c r="M27" s="57">
        <v>1050</v>
      </c>
      <c r="N27" s="57">
        <v>10</v>
      </c>
      <c r="O27" s="57">
        <v>0</v>
      </c>
      <c r="P27" s="57">
        <v>0</v>
      </c>
      <c r="Q27" s="55">
        <f t="shared" si="0"/>
        <v>4110</v>
      </c>
      <c r="R27" s="56">
        <f t="shared" si="2"/>
        <v>3669.6428571428573</v>
      </c>
      <c r="S27" s="50">
        <f t="shared" si="1"/>
        <v>28</v>
      </c>
      <c r="T27" s="21">
        <v>187805</v>
      </c>
      <c r="U27" s="25">
        <v>162228.14285714287</v>
      </c>
    </row>
    <row r="28" spans="1:21" s="37" customFormat="1" ht="17.399999999999999">
      <c r="A28" s="27">
        <v>24</v>
      </c>
      <c r="B28" s="24" t="s">
        <v>66</v>
      </c>
      <c r="C28" s="28" t="s">
        <v>47</v>
      </c>
      <c r="D28" s="29" t="s">
        <v>37</v>
      </c>
      <c r="E28" s="16">
        <v>6</v>
      </c>
      <c r="F28" s="30">
        <v>449</v>
      </c>
      <c r="G28" s="31">
        <v>65105</v>
      </c>
      <c r="H28" s="32"/>
      <c r="I28" s="57">
        <v>1470</v>
      </c>
      <c r="J28" s="57">
        <v>14</v>
      </c>
      <c r="K28" s="57">
        <v>1260</v>
      </c>
      <c r="L28" s="57">
        <v>12</v>
      </c>
      <c r="M28" s="57">
        <v>1365</v>
      </c>
      <c r="N28" s="57">
        <v>13</v>
      </c>
      <c r="O28" s="57">
        <v>1785</v>
      </c>
      <c r="P28" s="57">
        <v>17</v>
      </c>
      <c r="Q28" s="55">
        <f t="shared" si="0"/>
        <v>5880</v>
      </c>
      <c r="R28" s="56">
        <f t="shared" si="2"/>
        <v>5250</v>
      </c>
      <c r="S28" s="50">
        <f t="shared" si="1"/>
        <v>56</v>
      </c>
      <c r="T28" s="21">
        <v>230205</v>
      </c>
      <c r="U28" s="25">
        <v>198423.85714285716</v>
      </c>
    </row>
    <row r="29" spans="1:21" s="37" customFormat="1" ht="17.399999999999999">
      <c r="A29" s="27">
        <v>25</v>
      </c>
      <c r="B29" s="28" t="s">
        <v>68</v>
      </c>
      <c r="C29" s="28" t="s">
        <v>69</v>
      </c>
      <c r="D29" s="29" t="s">
        <v>37</v>
      </c>
      <c r="E29" s="16">
        <v>6</v>
      </c>
      <c r="F29" s="30">
        <v>450</v>
      </c>
      <c r="G29" s="31">
        <v>43650</v>
      </c>
      <c r="H29" s="32"/>
      <c r="I29" s="57">
        <v>679</v>
      </c>
      <c r="J29" s="57">
        <v>7</v>
      </c>
      <c r="K29" s="57">
        <v>291</v>
      </c>
      <c r="L29" s="57">
        <v>3</v>
      </c>
      <c r="M29" s="57">
        <v>0</v>
      </c>
      <c r="N29" s="57">
        <v>0</v>
      </c>
      <c r="O29" s="57">
        <v>1067</v>
      </c>
      <c r="P29" s="57">
        <v>11</v>
      </c>
      <c r="Q29" s="55">
        <f t="shared" si="0"/>
        <v>2037</v>
      </c>
      <c r="R29" s="56">
        <f t="shared" si="2"/>
        <v>1818.75</v>
      </c>
      <c r="S29" s="50">
        <f t="shared" si="1"/>
        <v>21</v>
      </c>
      <c r="T29" s="21">
        <v>38859</v>
      </c>
      <c r="U29" s="25">
        <v>35565.571428571428</v>
      </c>
    </row>
    <row r="30" spans="1:21" s="37" customFormat="1" ht="17.399999999999999">
      <c r="A30" s="27">
        <v>26</v>
      </c>
      <c r="B30" s="28" t="s">
        <v>70</v>
      </c>
      <c r="C30" s="28" t="s">
        <v>71</v>
      </c>
      <c r="D30" s="29" t="s">
        <v>37</v>
      </c>
      <c r="E30" s="16">
        <v>6</v>
      </c>
      <c r="F30" s="30">
        <v>300</v>
      </c>
      <c r="G30" s="31">
        <v>29100</v>
      </c>
      <c r="H30" s="32"/>
      <c r="I30" s="57">
        <v>388</v>
      </c>
      <c r="J30" s="57">
        <v>4</v>
      </c>
      <c r="K30" s="57">
        <v>776</v>
      </c>
      <c r="L30" s="57">
        <v>8</v>
      </c>
      <c r="M30" s="57"/>
      <c r="N30" s="57"/>
      <c r="O30" s="57">
        <v>0</v>
      </c>
      <c r="P30" s="57">
        <v>0</v>
      </c>
      <c r="Q30" s="55">
        <f t="shared" si="0"/>
        <v>1164</v>
      </c>
      <c r="R30" s="56">
        <f t="shared" si="2"/>
        <v>1039.2857142857142</v>
      </c>
      <c r="S30" s="50">
        <f t="shared" si="1"/>
        <v>12</v>
      </c>
      <c r="T30" s="21">
        <v>37248</v>
      </c>
      <c r="U30" s="25">
        <v>32949.392857142855</v>
      </c>
    </row>
    <row r="31" spans="1:21" s="37" customFormat="1" ht="17.399999999999999">
      <c r="A31" s="27">
        <v>27</v>
      </c>
      <c r="B31" s="28" t="s">
        <v>72</v>
      </c>
      <c r="C31" s="28" t="s">
        <v>73</v>
      </c>
      <c r="D31" s="29" t="s">
        <v>37</v>
      </c>
      <c r="E31" s="16">
        <v>6</v>
      </c>
      <c r="F31" s="30">
        <v>896</v>
      </c>
      <c r="G31" s="31">
        <v>144420</v>
      </c>
      <c r="H31" s="32"/>
      <c r="I31" s="57">
        <v>2550</v>
      </c>
      <c r="J31" s="57">
        <v>22</v>
      </c>
      <c r="K31" s="57">
        <v>2700</v>
      </c>
      <c r="L31" s="57">
        <v>21</v>
      </c>
      <c r="M31" s="57">
        <v>4150</v>
      </c>
      <c r="N31" s="57">
        <v>29</v>
      </c>
      <c r="O31" s="57">
        <v>0</v>
      </c>
      <c r="P31" s="57">
        <v>0</v>
      </c>
      <c r="Q31" s="55">
        <f t="shared" si="0"/>
        <v>9400</v>
      </c>
      <c r="R31" s="56">
        <f t="shared" si="2"/>
        <v>8392.8571428571431</v>
      </c>
      <c r="S31" s="50">
        <f t="shared" si="1"/>
        <v>72</v>
      </c>
      <c r="T31" s="21">
        <v>488930</v>
      </c>
      <c r="U31" s="25">
        <v>426716.03571428568</v>
      </c>
    </row>
    <row r="32" spans="1:21" ht="17.399999999999999">
      <c r="A32" s="15">
        <v>28</v>
      </c>
      <c r="B32" s="16" t="s">
        <v>74</v>
      </c>
      <c r="C32" s="16" t="s">
        <v>45</v>
      </c>
      <c r="D32" s="17" t="s">
        <v>37</v>
      </c>
      <c r="E32" s="16">
        <v>6</v>
      </c>
      <c r="F32" s="18">
        <v>360</v>
      </c>
      <c r="G32" s="19">
        <v>42700</v>
      </c>
      <c r="H32" s="20"/>
      <c r="I32" s="55">
        <v>615</v>
      </c>
      <c r="J32" s="55">
        <v>11</v>
      </c>
      <c r="K32" s="55">
        <v>1875</v>
      </c>
      <c r="L32" s="55">
        <v>27</v>
      </c>
      <c r="M32" s="55">
        <v>2100</v>
      </c>
      <c r="N32" s="55">
        <v>30</v>
      </c>
      <c r="O32" s="55">
        <v>945</v>
      </c>
      <c r="P32" s="55">
        <v>13</v>
      </c>
      <c r="Q32" s="55">
        <f t="shared" si="0"/>
        <v>5535</v>
      </c>
      <c r="R32" s="56">
        <f t="shared" si="2"/>
        <v>4941.9642857142853</v>
      </c>
      <c r="S32" s="50">
        <f t="shared" si="1"/>
        <v>81</v>
      </c>
      <c r="T32" s="21">
        <v>132215</v>
      </c>
      <c r="U32" s="25">
        <v>114693.00000000001</v>
      </c>
    </row>
    <row r="33" spans="1:21" s="37" customFormat="1" ht="17.399999999999999">
      <c r="A33" s="27">
        <v>29</v>
      </c>
      <c r="B33" s="28" t="s">
        <v>75</v>
      </c>
      <c r="C33" s="28" t="s">
        <v>76</v>
      </c>
      <c r="D33" s="29" t="s">
        <v>37</v>
      </c>
      <c r="E33" s="16">
        <v>6</v>
      </c>
      <c r="F33" s="30">
        <v>726</v>
      </c>
      <c r="G33" s="31">
        <v>32670</v>
      </c>
      <c r="H33" s="32"/>
      <c r="I33" s="57">
        <v>725</v>
      </c>
      <c r="J33" s="57">
        <v>5</v>
      </c>
      <c r="K33" s="57">
        <v>1595</v>
      </c>
      <c r="L33" s="57">
        <v>11</v>
      </c>
      <c r="M33" s="57">
        <v>0</v>
      </c>
      <c r="N33" s="57">
        <v>0</v>
      </c>
      <c r="O33" s="57"/>
      <c r="P33" s="57"/>
      <c r="Q33" s="55">
        <f t="shared" si="0"/>
        <v>2320</v>
      </c>
      <c r="R33" s="56">
        <f t="shared" si="2"/>
        <v>2071.4285714285716</v>
      </c>
      <c r="S33" s="50">
        <f t="shared" si="1"/>
        <v>16</v>
      </c>
      <c r="T33" s="21">
        <v>94977</v>
      </c>
      <c r="U33" s="25">
        <v>80530.142857142855</v>
      </c>
    </row>
    <row r="34" spans="1:21" s="37" customFormat="1" ht="17.399999999999999">
      <c r="A34" s="27">
        <v>30</v>
      </c>
      <c r="B34" s="28" t="s">
        <v>77</v>
      </c>
      <c r="C34" s="28" t="s">
        <v>78</v>
      </c>
      <c r="D34" s="29" t="s">
        <v>37</v>
      </c>
      <c r="E34" s="16">
        <v>6</v>
      </c>
      <c r="F34" s="30">
        <v>600</v>
      </c>
      <c r="G34" s="31">
        <v>49142</v>
      </c>
      <c r="H34" s="32"/>
      <c r="I34" s="57">
        <v>900</v>
      </c>
      <c r="J34" s="57">
        <v>9</v>
      </c>
      <c r="K34" s="57">
        <v>800</v>
      </c>
      <c r="L34" s="57">
        <v>8</v>
      </c>
      <c r="M34" s="57">
        <v>700</v>
      </c>
      <c r="N34" s="57">
        <v>7</v>
      </c>
      <c r="O34" s="57">
        <v>0</v>
      </c>
      <c r="P34" s="57">
        <v>0</v>
      </c>
      <c r="Q34" s="55">
        <f t="shared" si="0"/>
        <v>2400</v>
      </c>
      <c r="R34" s="56">
        <f t="shared" si="2"/>
        <v>2142.8571428571427</v>
      </c>
      <c r="S34" s="50">
        <f t="shared" si="1"/>
        <v>24</v>
      </c>
      <c r="T34" s="21">
        <v>65809</v>
      </c>
      <c r="U34" s="25">
        <v>57758.285714285717</v>
      </c>
    </row>
    <row r="35" spans="1:21" ht="17.399999999999999">
      <c r="A35" s="15">
        <v>31</v>
      </c>
      <c r="B35" s="16" t="s">
        <v>79</v>
      </c>
      <c r="C35" s="16" t="s">
        <v>80</v>
      </c>
      <c r="D35" s="17" t="s">
        <v>86</v>
      </c>
      <c r="E35" s="16">
        <v>6</v>
      </c>
      <c r="F35" s="18"/>
      <c r="G35" s="19"/>
      <c r="H35" s="20"/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/>
      <c r="P35" s="55"/>
      <c r="Q35" s="55">
        <f t="shared" si="0"/>
        <v>0</v>
      </c>
      <c r="R35" s="56">
        <f t="shared" si="2"/>
        <v>0</v>
      </c>
      <c r="S35" s="50">
        <f t="shared" si="1"/>
        <v>0</v>
      </c>
      <c r="T35" s="21">
        <v>0</v>
      </c>
      <c r="U35" s="25">
        <v>0</v>
      </c>
    </row>
    <row r="36" spans="1:21" ht="15.6">
      <c r="A36" s="84" t="s">
        <v>81</v>
      </c>
      <c r="B36" s="85"/>
      <c r="C36" s="85"/>
      <c r="D36" s="85"/>
      <c r="E36" s="85"/>
      <c r="F36" s="86"/>
      <c r="G36" s="39"/>
      <c r="H36" s="40"/>
      <c r="I36" s="53">
        <f>SUM(I5:I35)</f>
        <v>37265</v>
      </c>
      <c r="J36" s="53">
        <f t="shared" ref="J36:S36" si="3">SUM(J5:J35)</f>
        <v>362</v>
      </c>
      <c r="K36" s="53">
        <f t="shared" si="3"/>
        <v>40550</v>
      </c>
      <c r="L36" s="53">
        <f t="shared" si="3"/>
        <v>381</v>
      </c>
      <c r="M36" s="53">
        <f t="shared" si="3"/>
        <v>26787</v>
      </c>
      <c r="N36" s="53">
        <f t="shared" si="3"/>
        <v>244</v>
      </c>
      <c r="O36" s="53">
        <f t="shared" si="3"/>
        <v>16347</v>
      </c>
      <c r="P36" s="53">
        <f t="shared" si="3"/>
        <v>156</v>
      </c>
      <c r="Q36" s="53">
        <f t="shared" si="3"/>
        <v>120949</v>
      </c>
      <c r="R36" s="54">
        <f t="shared" si="3"/>
        <v>107990.17857142857</v>
      </c>
      <c r="S36" s="41">
        <f t="shared" si="3"/>
        <v>1143</v>
      </c>
      <c r="T36" s="42">
        <f>SUM(T5:T35)</f>
        <v>4658821</v>
      </c>
      <c r="U36" s="42">
        <f>SUM(U5:U35)</f>
        <v>4041897.7142857141</v>
      </c>
    </row>
    <row r="37" spans="1:21" ht="15.6">
      <c r="A37" s="3"/>
      <c r="B37" s="3"/>
      <c r="C37" s="3"/>
      <c r="D37" s="3"/>
      <c r="E37" s="3"/>
      <c r="F37" s="3"/>
      <c r="G37" s="3"/>
      <c r="H37" s="3"/>
      <c r="I37" s="1"/>
      <c r="J37" s="1"/>
      <c r="K37" s="2"/>
      <c r="L37" s="2"/>
      <c r="M37" s="2"/>
      <c r="N37" s="2"/>
      <c r="O37" s="2"/>
      <c r="P37" s="2"/>
      <c r="Q37" s="1"/>
      <c r="R37" s="1"/>
      <c r="S37" s="1"/>
      <c r="T37" s="58"/>
    </row>
    <row r="38" spans="1:21" ht="15.6">
      <c r="A38" s="3"/>
      <c r="B38" s="3"/>
      <c r="C38" s="3"/>
      <c r="D38" s="3"/>
      <c r="E38" s="3"/>
      <c r="F38" s="3"/>
      <c r="G38" s="3"/>
      <c r="H38" s="3"/>
      <c r="I38" s="1"/>
      <c r="J38" s="1"/>
      <c r="K38" s="2"/>
      <c r="L38" s="2"/>
      <c r="M38" s="2"/>
      <c r="N38" s="2"/>
      <c r="O38" s="2"/>
      <c r="P38" s="2"/>
      <c r="Q38" s="1"/>
      <c r="R38" s="1"/>
      <c r="S38" s="1"/>
      <c r="T38" s="58"/>
    </row>
    <row r="39" spans="1:21">
      <c r="I39" s="78"/>
      <c r="J39" s="78"/>
    </row>
    <row r="40" spans="1:21">
      <c r="I40" s="78"/>
      <c r="J40" s="78"/>
    </row>
    <row r="41" spans="1:21">
      <c r="I41" s="78"/>
      <c r="J41" s="78"/>
    </row>
    <row r="42" spans="1:21">
      <c r="I42" s="78"/>
      <c r="J42" s="78"/>
    </row>
    <row r="43" spans="1:21">
      <c r="I43" s="78"/>
      <c r="J43" s="78"/>
    </row>
    <row r="44" spans="1:21">
      <c r="I44" s="78"/>
      <c r="J44" s="78"/>
    </row>
    <row r="45" spans="1:21">
      <c r="I45" s="78"/>
      <c r="J45" s="78"/>
    </row>
    <row r="46" spans="1:21">
      <c r="I46" s="78"/>
      <c r="J46" s="78"/>
    </row>
    <row r="47" spans="1:21">
      <c r="I47" s="78"/>
      <c r="J47" s="78"/>
    </row>
    <row r="48" spans="1:21">
      <c r="I48" s="78"/>
      <c r="J48" s="78"/>
    </row>
    <row r="49" spans="9:10">
      <c r="I49" s="78"/>
      <c r="J49" s="78"/>
    </row>
    <row r="50" spans="9:10">
      <c r="I50" s="78"/>
      <c r="J50" s="78"/>
    </row>
    <row r="51" spans="9:10">
      <c r="I51" s="78"/>
      <c r="J51" s="78"/>
    </row>
    <row r="52" spans="9:10">
      <c r="I52" s="78"/>
      <c r="J52" s="78"/>
    </row>
    <row r="53" spans="9:10">
      <c r="I53" s="78"/>
      <c r="J53" s="78"/>
    </row>
    <row r="54" spans="9:10">
      <c r="I54" s="78"/>
      <c r="J54" s="78"/>
    </row>
    <row r="55" spans="9:10">
      <c r="I55" s="78"/>
      <c r="J55" s="78"/>
    </row>
    <row r="56" spans="9:10">
      <c r="I56" s="78"/>
      <c r="J56" s="78"/>
    </row>
    <row r="57" spans="9:10">
      <c r="I57" s="78"/>
      <c r="J57" s="78"/>
    </row>
    <row r="58" spans="9:10">
      <c r="I58" s="78"/>
      <c r="J58" s="78"/>
    </row>
    <row r="59" spans="9:10">
      <c r="I59" s="78"/>
      <c r="J59" s="78"/>
    </row>
    <row r="60" spans="9:10">
      <c r="I60" s="78"/>
      <c r="J60" s="78"/>
    </row>
    <row r="61" spans="9:10">
      <c r="I61" s="78"/>
      <c r="J61" s="78"/>
    </row>
    <row r="62" spans="9:10">
      <c r="I62" s="78"/>
      <c r="J62" s="78"/>
    </row>
    <row r="63" spans="9:10">
      <c r="I63" s="78"/>
      <c r="J63" s="78"/>
    </row>
    <row r="64" spans="9:10">
      <c r="I64" s="78"/>
      <c r="J64" s="78"/>
    </row>
    <row r="65" spans="9:10">
      <c r="I65" s="78"/>
      <c r="J65" s="78"/>
    </row>
    <row r="66" spans="9:10">
      <c r="I66" s="78"/>
      <c r="J66" s="78"/>
    </row>
    <row r="67" spans="9:10">
      <c r="I67" s="78"/>
      <c r="J67" s="78"/>
    </row>
    <row r="68" spans="9:10">
      <c r="I68" s="78"/>
      <c r="J68" s="78"/>
    </row>
    <row r="69" spans="9:10">
      <c r="I69" s="78"/>
      <c r="J69" s="78"/>
    </row>
    <row r="70" spans="9:10">
      <c r="I70" s="78"/>
      <c r="J70" s="78"/>
    </row>
    <row r="71" spans="9:10">
      <c r="I71" s="78"/>
      <c r="J71" s="78"/>
    </row>
    <row r="72" spans="9:10">
      <c r="I72" s="78"/>
      <c r="J72" s="78"/>
    </row>
    <row r="73" spans="9:10">
      <c r="I73" s="78"/>
      <c r="J73" s="78"/>
    </row>
    <row r="74" spans="9:10">
      <c r="I74" s="78"/>
      <c r="J74" s="78"/>
    </row>
    <row r="75" spans="9:10">
      <c r="I75" s="78"/>
      <c r="J75" s="78"/>
    </row>
    <row r="76" spans="9:10">
      <c r="I76" s="78"/>
      <c r="J76" s="78"/>
    </row>
    <row r="77" spans="9:10">
      <c r="I77" s="78"/>
      <c r="J77" s="78"/>
    </row>
    <row r="78" spans="9:10">
      <c r="I78" s="78"/>
      <c r="J78" s="78"/>
    </row>
    <row r="79" spans="9:10">
      <c r="I79" s="78"/>
      <c r="J79" s="78"/>
    </row>
    <row r="80" spans="9:10">
      <c r="I80" s="78"/>
      <c r="J80" s="78"/>
    </row>
    <row r="81" spans="9:10">
      <c r="I81" s="78"/>
      <c r="J81" s="78"/>
    </row>
    <row r="82" spans="9:10">
      <c r="I82" s="78"/>
      <c r="J82" s="78"/>
    </row>
    <row r="83" spans="9:10">
      <c r="I83" s="78"/>
      <c r="J83" s="78"/>
    </row>
    <row r="84" spans="9:10">
      <c r="I84" s="78"/>
      <c r="J84" s="78"/>
    </row>
    <row r="85" spans="9:10">
      <c r="I85" s="78"/>
      <c r="J85" s="78"/>
    </row>
    <row r="86" spans="9:10">
      <c r="I86" s="78"/>
      <c r="J86" s="78"/>
    </row>
    <row r="87" spans="9:10">
      <c r="I87" s="78"/>
      <c r="J87" s="78"/>
    </row>
    <row r="88" spans="9:10">
      <c r="I88" s="78"/>
      <c r="J88" s="78"/>
    </row>
    <row r="89" spans="9:10">
      <c r="I89" s="78"/>
      <c r="J89" s="78"/>
    </row>
    <row r="90" spans="9:10">
      <c r="I90" s="78"/>
      <c r="J90" s="78"/>
    </row>
    <row r="91" spans="9:10">
      <c r="I91" s="78"/>
      <c r="J91" s="78"/>
    </row>
    <row r="92" spans="9:10">
      <c r="I92" s="78"/>
      <c r="J92" s="78"/>
    </row>
    <row r="93" spans="9:10">
      <c r="I93" s="78"/>
      <c r="J93" s="78"/>
    </row>
    <row r="94" spans="9:10">
      <c r="I94" s="78"/>
      <c r="J94" s="78"/>
    </row>
    <row r="95" spans="9:10">
      <c r="I95" s="78"/>
      <c r="J95" s="78"/>
    </row>
    <row r="96" spans="9:10">
      <c r="I96" s="78"/>
      <c r="J96" s="78"/>
    </row>
    <row r="97" spans="9:10">
      <c r="I97" s="78"/>
      <c r="J97" s="78"/>
    </row>
    <row r="98" spans="9:10">
      <c r="I98" s="78"/>
      <c r="J98" s="78"/>
    </row>
    <row r="99" spans="9:10">
      <c r="I99" s="78"/>
      <c r="J99" s="78"/>
    </row>
    <row r="100" spans="9:10">
      <c r="I100" s="78"/>
      <c r="J100" s="78"/>
    </row>
    <row r="101" spans="9:10">
      <c r="I101" s="78"/>
      <c r="J101" s="78"/>
    </row>
    <row r="102" spans="9:10">
      <c r="I102" s="78"/>
      <c r="J102" s="78"/>
    </row>
    <row r="103" spans="9:10">
      <c r="I103" s="78"/>
      <c r="J103" s="78"/>
    </row>
    <row r="104" spans="9:10">
      <c r="I104" s="78"/>
      <c r="J104" s="78"/>
    </row>
    <row r="105" spans="9:10">
      <c r="I105" s="78"/>
      <c r="J105" s="78"/>
    </row>
    <row r="106" spans="9:10">
      <c r="I106" s="78"/>
      <c r="J106" s="78"/>
    </row>
    <row r="107" spans="9:10">
      <c r="I107" s="78"/>
      <c r="J107" s="78"/>
    </row>
    <row r="108" spans="9:10">
      <c r="I108" s="78"/>
      <c r="J108" s="78"/>
    </row>
    <row r="109" spans="9:10">
      <c r="I109" s="78"/>
      <c r="J109" s="78"/>
    </row>
    <row r="110" spans="9:10">
      <c r="I110" s="78"/>
      <c r="J110" s="78"/>
    </row>
    <row r="111" spans="9:10">
      <c r="I111" s="78"/>
      <c r="J111" s="78"/>
    </row>
    <row r="112" spans="9:10">
      <c r="I112" s="78"/>
      <c r="J112" s="78"/>
    </row>
    <row r="113" spans="9:10">
      <c r="I113" s="78"/>
      <c r="J113" s="78"/>
    </row>
    <row r="114" spans="9:10">
      <c r="I114" s="78"/>
      <c r="J114" s="78"/>
    </row>
    <row r="115" spans="9:10">
      <c r="I115" s="78"/>
      <c r="J115" s="78"/>
    </row>
    <row r="116" spans="9:10">
      <c r="I116" s="78"/>
      <c r="J116" s="78"/>
    </row>
    <row r="117" spans="9:10">
      <c r="I117" s="78"/>
      <c r="J117" s="78"/>
    </row>
    <row r="118" spans="9:10">
      <c r="I118" s="78"/>
      <c r="J118" s="78"/>
    </row>
    <row r="119" spans="9:10">
      <c r="I119" s="78"/>
      <c r="J119" s="78"/>
    </row>
    <row r="120" spans="9:10">
      <c r="I120" s="78"/>
      <c r="J120" s="78"/>
    </row>
    <row r="121" spans="9:10">
      <c r="I121" s="78"/>
      <c r="J121" s="78"/>
    </row>
    <row r="122" spans="9:10">
      <c r="I122" s="78"/>
      <c r="J122" s="78"/>
    </row>
    <row r="123" spans="9:10">
      <c r="I123" s="78"/>
      <c r="J123" s="78"/>
    </row>
    <row r="124" spans="9:10">
      <c r="I124" s="78"/>
      <c r="J124" s="78"/>
    </row>
    <row r="125" spans="9:10">
      <c r="I125" s="78"/>
      <c r="J125" s="78"/>
    </row>
    <row r="126" spans="9:10">
      <c r="I126" s="78"/>
      <c r="J126" s="78"/>
    </row>
    <row r="127" spans="9:10">
      <c r="I127" s="78"/>
      <c r="J127" s="78"/>
    </row>
    <row r="128" spans="9:10">
      <c r="I128" s="78"/>
      <c r="J128" s="78"/>
    </row>
    <row r="129" spans="9:10">
      <c r="I129" s="78"/>
      <c r="J129" s="78"/>
    </row>
    <row r="130" spans="9:10">
      <c r="I130" s="78"/>
      <c r="J130" s="78"/>
    </row>
    <row r="131" spans="9:10">
      <c r="I131" s="78"/>
      <c r="J131" s="78"/>
    </row>
    <row r="132" spans="9:10">
      <c r="I132" s="78"/>
      <c r="J132" s="78"/>
    </row>
    <row r="133" spans="9:10">
      <c r="I133" s="78"/>
      <c r="J133" s="78"/>
    </row>
    <row r="134" spans="9:10">
      <c r="I134" s="78"/>
      <c r="J134" s="78"/>
    </row>
    <row r="135" spans="9:10">
      <c r="I135" s="78"/>
      <c r="J135" s="78"/>
    </row>
    <row r="136" spans="9:10">
      <c r="I136" s="78"/>
      <c r="J136" s="78"/>
    </row>
    <row r="137" spans="9:10">
      <c r="I137" s="78"/>
      <c r="J137" s="78"/>
    </row>
    <row r="138" spans="9:10">
      <c r="I138" s="78"/>
      <c r="J138" s="78"/>
    </row>
    <row r="139" spans="9:10">
      <c r="I139" s="78"/>
      <c r="J139" s="78"/>
    </row>
    <row r="140" spans="9:10">
      <c r="I140" s="78"/>
      <c r="J140" s="78"/>
    </row>
    <row r="141" spans="9:10">
      <c r="I141" s="78"/>
      <c r="J141" s="78"/>
    </row>
    <row r="142" spans="9:10">
      <c r="I142" s="78"/>
      <c r="J142" s="78"/>
    </row>
    <row r="143" spans="9:10">
      <c r="I143" s="78"/>
      <c r="J143" s="78"/>
    </row>
    <row r="144" spans="9:10">
      <c r="I144" s="78"/>
      <c r="J144" s="78"/>
    </row>
    <row r="145" spans="9:10">
      <c r="I145" s="78"/>
      <c r="J145" s="78"/>
    </row>
    <row r="146" spans="9:10">
      <c r="I146" s="78"/>
      <c r="J146" s="78"/>
    </row>
    <row r="147" spans="9:10">
      <c r="I147" s="78"/>
      <c r="J147" s="78"/>
    </row>
    <row r="148" spans="9:10">
      <c r="I148" s="78"/>
      <c r="J148" s="78"/>
    </row>
    <row r="149" spans="9:10">
      <c r="I149" s="78"/>
      <c r="J149" s="78"/>
    </row>
    <row r="150" spans="9:10">
      <c r="I150" s="78"/>
      <c r="J150" s="78"/>
    </row>
    <row r="151" spans="9:10">
      <c r="I151" s="78"/>
      <c r="J151" s="78"/>
    </row>
    <row r="152" spans="9:10">
      <c r="I152" s="78"/>
      <c r="J152" s="78"/>
    </row>
    <row r="153" spans="9:10">
      <c r="I153" s="78"/>
      <c r="J153" s="78"/>
    </row>
    <row r="154" spans="9:10">
      <c r="I154" s="78"/>
      <c r="J154" s="78"/>
    </row>
    <row r="155" spans="9:10">
      <c r="I155" s="78"/>
      <c r="J155" s="78"/>
    </row>
    <row r="156" spans="9:10">
      <c r="I156" s="78"/>
      <c r="J156" s="78"/>
    </row>
    <row r="157" spans="9:10">
      <c r="I157" s="78"/>
      <c r="J157" s="78"/>
    </row>
    <row r="158" spans="9:10">
      <c r="I158" s="78"/>
      <c r="J158" s="78"/>
    </row>
    <row r="159" spans="9:10">
      <c r="I159" s="78"/>
      <c r="J159" s="78"/>
    </row>
    <row r="160" spans="9:10">
      <c r="I160" s="78"/>
      <c r="J160" s="78"/>
    </row>
    <row r="161" spans="9:10">
      <c r="I161" s="78"/>
      <c r="J161" s="78"/>
    </row>
    <row r="162" spans="9:10">
      <c r="I162" s="78"/>
      <c r="J162" s="78"/>
    </row>
    <row r="163" spans="9:10">
      <c r="I163" s="78"/>
      <c r="J163" s="78"/>
    </row>
    <row r="164" spans="9:10">
      <c r="I164" s="78"/>
      <c r="J164" s="78"/>
    </row>
    <row r="165" spans="9:10">
      <c r="I165" s="78"/>
      <c r="J165" s="78"/>
    </row>
    <row r="166" spans="9:10">
      <c r="I166" s="78"/>
      <c r="J166" s="78"/>
    </row>
    <row r="167" spans="9:10">
      <c r="I167" s="78"/>
      <c r="J167" s="78"/>
    </row>
    <row r="168" spans="9:10">
      <c r="I168" s="78"/>
      <c r="J168" s="78"/>
    </row>
    <row r="169" spans="9:10">
      <c r="I169" s="78"/>
      <c r="J169" s="78"/>
    </row>
    <row r="170" spans="9:10">
      <c r="I170" s="78"/>
      <c r="J170" s="78"/>
    </row>
    <row r="171" spans="9:10">
      <c r="I171" s="78"/>
      <c r="J171" s="78"/>
    </row>
    <row r="172" spans="9:10">
      <c r="I172" s="78"/>
      <c r="J172" s="78"/>
    </row>
    <row r="173" spans="9:10">
      <c r="I173" s="78"/>
      <c r="J173" s="78"/>
    </row>
    <row r="174" spans="9:10">
      <c r="I174" s="78"/>
      <c r="J174" s="78"/>
    </row>
    <row r="175" spans="9:10">
      <c r="I175" s="78"/>
      <c r="J175" s="78"/>
    </row>
    <row r="176" spans="9:10">
      <c r="I176" s="78"/>
      <c r="J176" s="78"/>
    </row>
    <row r="177" spans="9:10">
      <c r="I177" s="78"/>
      <c r="J177" s="78"/>
    </row>
    <row r="178" spans="9:10">
      <c r="I178" s="78"/>
      <c r="J178" s="78"/>
    </row>
    <row r="179" spans="9:10">
      <c r="I179" s="78"/>
      <c r="J179" s="78"/>
    </row>
    <row r="180" spans="9:10">
      <c r="I180" s="78"/>
      <c r="J180" s="78"/>
    </row>
    <row r="181" spans="9:10">
      <c r="I181" s="78"/>
      <c r="J181" s="78"/>
    </row>
    <row r="182" spans="9:10">
      <c r="I182" s="78"/>
      <c r="J182" s="78"/>
    </row>
    <row r="183" spans="9:10">
      <c r="I183" s="78"/>
      <c r="J183" s="78"/>
    </row>
    <row r="184" spans="9:10">
      <c r="I184" s="78"/>
      <c r="J184" s="78"/>
    </row>
    <row r="185" spans="9:10">
      <c r="I185" s="78"/>
      <c r="J185" s="78"/>
    </row>
    <row r="186" spans="9:10">
      <c r="I186" s="78"/>
      <c r="J186" s="78"/>
    </row>
    <row r="187" spans="9:10">
      <c r="I187" s="78"/>
      <c r="J187" s="78"/>
    </row>
    <row r="188" spans="9:10">
      <c r="I188" s="78"/>
      <c r="J188" s="78"/>
    </row>
    <row r="189" spans="9:10">
      <c r="I189" s="78"/>
      <c r="J189" s="78"/>
    </row>
    <row r="190" spans="9:10">
      <c r="I190" s="78"/>
      <c r="J190" s="78"/>
    </row>
    <row r="191" spans="9:10">
      <c r="I191" s="78"/>
      <c r="J191" s="78"/>
    </row>
    <row r="192" spans="9:10">
      <c r="I192" s="78"/>
      <c r="J192" s="78"/>
    </row>
    <row r="193" spans="9:10">
      <c r="I193" s="78"/>
      <c r="J193" s="78"/>
    </row>
    <row r="194" spans="9:10">
      <c r="I194" s="78"/>
      <c r="J194" s="78"/>
    </row>
    <row r="195" spans="9:10">
      <c r="I195" s="78"/>
      <c r="J195" s="78"/>
    </row>
    <row r="196" spans="9:10">
      <c r="I196" s="78"/>
      <c r="J196" s="78"/>
    </row>
    <row r="197" spans="9:10">
      <c r="I197" s="78"/>
      <c r="J197" s="78"/>
    </row>
    <row r="198" spans="9:10">
      <c r="I198" s="78"/>
      <c r="J198" s="78"/>
    </row>
    <row r="199" spans="9:10">
      <c r="I199" s="78"/>
      <c r="J199" s="78"/>
    </row>
    <row r="200" spans="9:10">
      <c r="I200" s="78"/>
      <c r="J200" s="78"/>
    </row>
    <row r="201" spans="9:10">
      <c r="I201" s="78"/>
      <c r="J201" s="78"/>
    </row>
    <row r="202" spans="9:10">
      <c r="I202" s="78"/>
      <c r="J202" s="78"/>
    </row>
    <row r="203" spans="9:10">
      <c r="I203" s="78"/>
      <c r="J203" s="78"/>
    </row>
    <row r="204" spans="9:10">
      <c r="I204" s="78"/>
      <c r="J204" s="78"/>
    </row>
    <row r="205" spans="9:10">
      <c r="I205" s="78"/>
      <c r="J205" s="78"/>
    </row>
    <row r="206" spans="9:10">
      <c r="I206" s="78"/>
      <c r="J206" s="78"/>
    </row>
    <row r="207" spans="9:10">
      <c r="I207" s="78"/>
      <c r="J207" s="78"/>
    </row>
    <row r="208" spans="9:10">
      <c r="I208" s="78"/>
      <c r="J208" s="78"/>
    </row>
    <row r="209" spans="9:10">
      <c r="I209" s="78"/>
      <c r="J209" s="78"/>
    </row>
    <row r="210" spans="9:10">
      <c r="I210" s="78"/>
      <c r="J210" s="78"/>
    </row>
    <row r="211" spans="9:10">
      <c r="I211" s="78"/>
      <c r="J211" s="78"/>
    </row>
    <row r="212" spans="9:10">
      <c r="I212" s="78"/>
      <c r="J212" s="78"/>
    </row>
    <row r="213" spans="9:10">
      <c r="I213" s="78"/>
      <c r="J213" s="78"/>
    </row>
    <row r="214" spans="9:10">
      <c r="I214" s="78"/>
      <c r="J214" s="78"/>
    </row>
    <row r="215" spans="9:10">
      <c r="I215" s="78"/>
      <c r="J215" s="78"/>
    </row>
    <row r="216" spans="9:10">
      <c r="I216" s="78"/>
      <c r="J216" s="78"/>
    </row>
    <row r="217" spans="9:10">
      <c r="I217" s="78"/>
      <c r="J217" s="78"/>
    </row>
    <row r="218" spans="9:10">
      <c r="I218" s="78"/>
      <c r="J218" s="78"/>
    </row>
    <row r="219" spans="9:10">
      <c r="I219" s="78"/>
      <c r="J219" s="78"/>
    </row>
    <row r="220" spans="9:10">
      <c r="I220" s="78"/>
      <c r="J220" s="78"/>
    </row>
    <row r="221" spans="9:10">
      <c r="I221" s="78"/>
      <c r="J221" s="78"/>
    </row>
    <row r="222" spans="9:10">
      <c r="I222" s="78"/>
      <c r="J222" s="78"/>
    </row>
    <row r="223" spans="9:10">
      <c r="I223" s="78"/>
      <c r="J223" s="78"/>
    </row>
    <row r="224" spans="9:10">
      <c r="I224" s="78"/>
      <c r="J224" s="78"/>
    </row>
    <row r="225" spans="9:10">
      <c r="I225" s="78"/>
      <c r="J225" s="78"/>
    </row>
    <row r="226" spans="9:10">
      <c r="I226" s="78"/>
      <c r="J226" s="78"/>
    </row>
    <row r="227" spans="9:10">
      <c r="I227" s="78"/>
      <c r="J227" s="78"/>
    </row>
    <row r="228" spans="9:10">
      <c r="I228" s="78"/>
      <c r="J228" s="78"/>
    </row>
    <row r="229" spans="9:10">
      <c r="I229" s="78"/>
      <c r="J229" s="78"/>
    </row>
    <row r="230" spans="9:10">
      <c r="I230" s="78"/>
      <c r="J230" s="78"/>
    </row>
    <row r="231" spans="9:10">
      <c r="I231" s="78"/>
      <c r="J231" s="78"/>
    </row>
    <row r="232" spans="9:10">
      <c r="I232" s="78"/>
      <c r="J232" s="78"/>
    </row>
    <row r="233" spans="9:10">
      <c r="I233" s="78"/>
      <c r="J233" s="78"/>
    </row>
    <row r="234" spans="9:10">
      <c r="I234" s="78"/>
      <c r="J234" s="78"/>
    </row>
    <row r="235" spans="9:10">
      <c r="I235" s="78"/>
      <c r="J235" s="78"/>
    </row>
    <row r="236" spans="9:10">
      <c r="I236" s="78"/>
      <c r="J236" s="78"/>
    </row>
    <row r="237" spans="9:10">
      <c r="I237" s="78"/>
      <c r="J237" s="78"/>
    </row>
    <row r="238" spans="9:10">
      <c r="I238" s="78"/>
      <c r="J238" s="78"/>
    </row>
    <row r="239" spans="9:10">
      <c r="I239" s="78"/>
      <c r="J239" s="78"/>
    </row>
    <row r="240" spans="9:10">
      <c r="I240" s="78"/>
      <c r="J240" s="78"/>
    </row>
    <row r="241" spans="9:10">
      <c r="I241" s="78"/>
      <c r="J241" s="78"/>
    </row>
    <row r="242" spans="9:10">
      <c r="I242" s="78"/>
      <c r="J242" s="78"/>
    </row>
    <row r="243" spans="9:10">
      <c r="I243" s="78"/>
      <c r="J243" s="78"/>
    </row>
    <row r="244" spans="9:10">
      <c r="I244" s="78"/>
      <c r="J244" s="78"/>
    </row>
    <row r="245" spans="9:10">
      <c r="I245" s="78"/>
      <c r="J245" s="78"/>
    </row>
    <row r="246" spans="9:10">
      <c r="I246" s="78"/>
      <c r="J246" s="78"/>
    </row>
    <row r="247" spans="9:10">
      <c r="I247" s="78"/>
      <c r="J247" s="78"/>
    </row>
    <row r="248" spans="9:10">
      <c r="I248" s="78"/>
      <c r="J248" s="78"/>
    </row>
    <row r="249" spans="9:10">
      <c r="I249" s="78"/>
      <c r="J249" s="78"/>
    </row>
    <row r="250" spans="9:10">
      <c r="I250" s="78"/>
      <c r="J250" s="78"/>
    </row>
    <row r="251" spans="9:10">
      <c r="I251" s="78"/>
      <c r="J251" s="78"/>
    </row>
    <row r="252" spans="9:10">
      <c r="I252" s="78"/>
      <c r="J252" s="78"/>
    </row>
    <row r="253" spans="9:10">
      <c r="I253" s="78"/>
      <c r="J253" s="78"/>
    </row>
    <row r="254" spans="9:10">
      <c r="I254" s="78"/>
      <c r="J254" s="78"/>
    </row>
    <row r="255" spans="9:10">
      <c r="I255" s="78"/>
      <c r="J255" s="78"/>
    </row>
    <row r="256" spans="9:10">
      <c r="I256" s="78"/>
      <c r="J256" s="78"/>
    </row>
    <row r="257" spans="9:10">
      <c r="I257" s="78"/>
      <c r="J257" s="78"/>
    </row>
    <row r="258" spans="9:10">
      <c r="I258" s="78"/>
      <c r="J258" s="78"/>
    </row>
    <row r="259" spans="9:10">
      <c r="I259" s="78"/>
      <c r="J259" s="78"/>
    </row>
    <row r="260" spans="9:10">
      <c r="I260" s="78"/>
      <c r="J260" s="78"/>
    </row>
    <row r="261" spans="9:10">
      <c r="I261" s="78"/>
      <c r="J261" s="78"/>
    </row>
    <row r="262" spans="9:10">
      <c r="I262" s="78"/>
      <c r="J262" s="78"/>
    </row>
    <row r="263" spans="9:10">
      <c r="I263" s="78"/>
      <c r="J263" s="78"/>
    </row>
    <row r="264" spans="9:10">
      <c r="I264" s="78"/>
      <c r="J264" s="78"/>
    </row>
    <row r="265" spans="9:10">
      <c r="I265" s="78"/>
      <c r="J265" s="78"/>
    </row>
    <row r="266" spans="9:10">
      <c r="I266" s="78"/>
      <c r="J266" s="78"/>
    </row>
    <row r="267" spans="9:10">
      <c r="I267" s="78"/>
      <c r="J267" s="78"/>
    </row>
    <row r="268" spans="9:10">
      <c r="I268" s="78"/>
      <c r="J268" s="78"/>
    </row>
    <row r="269" spans="9:10">
      <c r="I269" s="78"/>
      <c r="J269" s="78"/>
    </row>
    <row r="270" spans="9:10">
      <c r="I270" s="78"/>
      <c r="J270" s="78"/>
    </row>
    <row r="271" spans="9:10">
      <c r="I271" s="78"/>
      <c r="J271" s="78"/>
    </row>
    <row r="272" spans="9:10">
      <c r="I272" s="78"/>
      <c r="J272" s="78"/>
    </row>
    <row r="273" spans="9:10">
      <c r="I273" s="78"/>
      <c r="J273" s="78"/>
    </row>
    <row r="274" spans="9:10">
      <c r="I274" s="78"/>
      <c r="J274" s="78"/>
    </row>
    <row r="275" spans="9:10">
      <c r="I275" s="78"/>
      <c r="J275" s="78"/>
    </row>
    <row r="276" spans="9:10">
      <c r="I276" s="78"/>
      <c r="J276" s="78"/>
    </row>
    <row r="277" spans="9:10">
      <c r="I277" s="78"/>
      <c r="J277" s="78"/>
    </row>
    <row r="278" spans="9:10">
      <c r="I278" s="78"/>
      <c r="J278" s="78"/>
    </row>
    <row r="279" spans="9:10">
      <c r="I279" s="78"/>
      <c r="J279" s="78"/>
    </row>
    <row r="280" spans="9:10">
      <c r="I280" s="78"/>
      <c r="J280" s="78"/>
    </row>
    <row r="281" spans="9:10">
      <c r="I281" s="78"/>
      <c r="J281" s="78"/>
    </row>
    <row r="282" spans="9:10">
      <c r="I282" s="78"/>
      <c r="J282" s="78"/>
    </row>
    <row r="283" spans="9:10">
      <c r="I283" s="78"/>
      <c r="J283" s="78"/>
    </row>
    <row r="284" spans="9:10">
      <c r="I284" s="78"/>
      <c r="J284" s="78"/>
    </row>
    <row r="285" spans="9:10">
      <c r="I285" s="78"/>
      <c r="J285" s="78"/>
    </row>
    <row r="286" spans="9:10">
      <c r="I286" s="78"/>
      <c r="J286" s="78"/>
    </row>
    <row r="287" spans="9:10">
      <c r="I287" s="78"/>
      <c r="J287" s="78"/>
    </row>
    <row r="288" spans="9:10">
      <c r="I288" s="78"/>
      <c r="J288" s="78"/>
    </row>
    <row r="289" spans="9:10">
      <c r="I289" s="78"/>
      <c r="J289" s="78"/>
    </row>
    <row r="290" spans="9:10">
      <c r="I290" s="78"/>
      <c r="J290" s="78"/>
    </row>
    <row r="291" spans="9:10">
      <c r="I291" s="78"/>
      <c r="J291" s="78"/>
    </row>
    <row r="292" spans="9:10">
      <c r="I292" s="78"/>
      <c r="J292" s="78"/>
    </row>
    <row r="293" spans="9:10">
      <c r="I293" s="78"/>
      <c r="J293" s="78"/>
    </row>
    <row r="294" spans="9:10">
      <c r="I294" s="78"/>
      <c r="J294" s="78"/>
    </row>
    <row r="295" spans="9:10">
      <c r="I295" s="78"/>
      <c r="J295" s="78"/>
    </row>
    <row r="296" spans="9:10">
      <c r="I296" s="78"/>
      <c r="J296" s="78"/>
    </row>
    <row r="297" spans="9:10">
      <c r="I297" s="78"/>
      <c r="J297" s="78"/>
    </row>
    <row r="298" spans="9:10">
      <c r="I298" s="78"/>
      <c r="J298" s="78"/>
    </row>
    <row r="299" spans="9:10">
      <c r="I299" s="78"/>
      <c r="J299" s="78"/>
    </row>
    <row r="300" spans="9:10">
      <c r="I300" s="78"/>
      <c r="J300" s="78"/>
    </row>
    <row r="301" spans="9:10">
      <c r="I301" s="78"/>
      <c r="J301" s="78"/>
    </row>
    <row r="302" spans="9:10">
      <c r="I302" s="78"/>
      <c r="J302" s="78"/>
    </row>
    <row r="303" spans="9:10">
      <c r="I303" s="78"/>
      <c r="J303" s="78"/>
    </row>
    <row r="304" spans="9:10">
      <c r="I304" s="78"/>
      <c r="J304" s="78"/>
    </row>
    <row r="305" spans="9:10">
      <c r="I305" s="78"/>
      <c r="J305" s="78"/>
    </row>
    <row r="306" spans="9:10">
      <c r="I306" s="78"/>
      <c r="J306" s="78"/>
    </row>
    <row r="307" spans="9:10">
      <c r="I307" s="78"/>
      <c r="J307" s="78"/>
    </row>
    <row r="308" spans="9:10">
      <c r="I308" s="78"/>
      <c r="J308" s="78"/>
    </row>
    <row r="309" spans="9:10">
      <c r="I309" s="78"/>
      <c r="J309" s="78"/>
    </row>
    <row r="310" spans="9:10">
      <c r="I310" s="78"/>
      <c r="J310" s="78"/>
    </row>
    <row r="311" spans="9:10">
      <c r="I311" s="78"/>
      <c r="J311" s="78"/>
    </row>
    <row r="312" spans="9:10">
      <c r="I312" s="78"/>
      <c r="J312" s="78"/>
    </row>
    <row r="313" spans="9:10">
      <c r="I313" s="78"/>
      <c r="J313" s="78"/>
    </row>
    <row r="314" spans="9:10">
      <c r="I314" s="78"/>
      <c r="J314" s="78"/>
    </row>
    <row r="315" spans="9:10">
      <c r="I315" s="78"/>
      <c r="J315" s="78"/>
    </row>
    <row r="316" spans="9:10">
      <c r="I316" s="78"/>
      <c r="J316" s="78"/>
    </row>
    <row r="317" spans="9:10">
      <c r="I317" s="78"/>
      <c r="J317" s="78"/>
    </row>
    <row r="318" spans="9:10">
      <c r="I318" s="78"/>
      <c r="J318" s="78"/>
    </row>
    <row r="319" spans="9:10">
      <c r="I319" s="78"/>
      <c r="J319" s="78"/>
    </row>
    <row r="320" spans="9:10">
      <c r="I320" s="78"/>
      <c r="J320" s="78"/>
    </row>
    <row r="321" spans="9:10">
      <c r="I321" s="78"/>
      <c r="J321" s="78"/>
    </row>
    <row r="322" spans="9:10">
      <c r="I322" s="78"/>
      <c r="J322" s="78"/>
    </row>
    <row r="323" spans="9:10">
      <c r="I323" s="78"/>
      <c r="J323" s="78"/>
    </row>
    <row r="324" spans="9:10">
      <c r="I324" s="78"/>
      <c r="J324" s="78"/>
    </row>
    <row r="325" spans="9:10">
      <c r="I325" s="78"/>
      <c r="J325" s="78"/>
    </row>
    <row r="326" spans="9:10">
      <c r="I326" s="78"/>
      <c r="J326" s="78"/>
    </row>
    <row r="327" spans="9:10">
      <c r="I327" s="78"/>
      <c r="J327" s="78"/>
    </row>
    <row r="328" spans="9:10">
      <c r="I328" s="78"/>
      <c r="J328" s="78"/>
    </row>
    <row r="329" spans="9:10">
      <c r="I329" s="78"/>
      <c r="J329" s="78"/>
    </row>
    <row r="330" spans="9:10">
      <c r="I330" s="78"/>
      <c r="J330" s="78"/>
    </row>
    <row r="331" spans="9:10">
      <c r="I331" s="78"/>
      <c r="J331" s="78"/>
    </row>
    <row r="332" spans="9:10">
      <c r="I332" s="78"/>
      <c r="J332" s="78"/>
    </row>
    <row r="333" spans="9:10">
      <c r="I333" s="78"/>
      <c r="J333" s="78"/>
    </row>
    <row r="334" spans="9:10">
      <c r="I334" s="78"/>
      <c r="J334" s="78"/>
    </row>
    <row r="335" spans="9:10">
      <c r="I335" s="78"/>
      <c r="J335" s="78"/>
    </row>
    <row r="336" spans="9:10">
      <c r="I336" s="78"/>
      <c r="J336" s="78"/>
    </row>
    <row r="337" spans="9:10">
      <c r="I337" s="78"/>
      <c r="J337" s="78"/>
    </row>
    <row r="338" spans="9:10">
      <c r="I338" s="78"/>
      <c r="J338" s="78"/>
    </row>
    <row r="339" spans="9:10">
      <c r="I339" s="78"/>
      <c r="J339" s="78"/>
    </row>
    <row r="340" spans="9:10">
      <c r="I340" s="78"/>
      <c r="J340" s="78"/>
    </row>
    <row r="341" spans="9:10">
      <c r="I341" s="78"/>
      <c r="J341" s="78"/>
    </row>
    <row r="342" spans="9:10">
      <c r="I342" s="78"/>
      <c r="J342" s="78"/>
    </row>
    <row r="343" spans="9:10">
      <c r="I343" s="78"/>
      <c r="J343" s="78"/>
    </row>
    <row r="344" spans="9:10">
      <c r="I344" s="78"/>
      <c r="J344" s="78"/>
    </row>
    <row r="345" spans="9:10">
      <c r="I345" s="78"/>
      <c r="J345" s="78"/>
    </row>
    <row r="346" spans="9:10">
      <c r="I346" s="78"/>
      <c r="J346" s="78"/>
    </row>
    <row r="347" spans="9:10">
      <c r="I347" s="78"/>
      <c r="J347" s="78"/>
    </row>
    <row r="348" spans="9:10">
      <c r="I348" s="78"/>
      <c r="J348" s="78"/>
    </row>
    <row r="349" spans="9:10">
      <c r="I349" s="78"/>
      <c r="J349" s="78"/>
    </row>
    <row r="350" spans="9:10">
      <c r="I350" s="78"/>
      <c r="J350" s="78"/>
    </row>
    <row r="351" spans="9:10">
      <c r="I351" s="78"/>
      <c r="J351" s="78"/>
    </row>
    <row r="352" spans="9:10">
      <c r="I352" s="78"/>
      <c r="J352" s="78"/>
    </row>
    <row r="353" spans="9:10">
      <c r="I353" s="78"/>
      <c r="J353" s="78"/>
    </row>
    <row r="354" spans="9:10">
      <c r="I354" s="78"/>
      <c r="J354" s="78"/>
    </row>
    <row r="355" spans="9:10">
      <c r="I355" s="78"/>
      <c r="J355" s="78"/>
    </row>
    <row r="356" spans="9:10">
      <c r="I356" s="78"/>
      <c r="J356" s="78"/>
    </row>
    <row r="357" spans="9:10">
      <c r="I357" s="78"/>
      <c r="J357" s="78"/>
    </row>
    <row r="358" spans="9:10">
      <c r="I358" s="78"/>
      <c r="J358" s="78"/>
    </row>
    <row r="359" spans="9:10">
      <c r="I359" s="78"/>
      <c r="J359" s="78"/>
    </row>
    <row r="360" spans="9:10">
      <c r="I360" s="78"/>
      <c r="J360" s="78"/>
    </row>
    <row r="361" spans="9:10">
      <c r="I361" s="78"/>
      <c r="J361" s="78"/>
    </row>
    <row r="362" spans="9:10">
      <c r="I362" s="78"/>
      <c r="J362" s="78"/>
    </row>
    <row r="363" spans="9:10">
      <c r="I363" s="78"/>
      <c r="J363" s="78"/>
    </row>
    <row r="364" spans="9:10">
      <c r="I364" s="78"/>
      <c r="J364" s="78"/>
    </row>
    <row r="365" spans="9:10">
      <c r="I365" s="78"/>
      <c r="J365" s="78"/>
    </row>
    <row r="366" spans="9:10">
      <c r="I366" s="78"/>
      <c r="J366" s="78"/>
    </row>
    <row r="367" spans="9:10">
      <c r="I367" s="78"/>
      <c r="J367" s="78"/>
    </row>
    <row r="368" spans="9:10">
      <c r="I368" s="78"/>
      <c r="J368" s="78"/>
    </row>
    <row r="369" spans="9:10">
      <c r="I369" s="78"/>
      <c r="J369" s="78"/>
    </row>
    <row r="370" spans="9:10">
      <c r="I370" s="78"/>
      <c r="J370" s="78"/>
    </row>
    <row r="371" spans="9:10">
      <c r="I371" s="78"/>
      <c r="J371" s="78"/>
    </row>
    <row r="372" spans="9:10">
      <c r="I372" s="78"/>
      <c r="J372" s="78"/>
    </row>
    <row r="373" spans="9:10">
      <c r="I373" s="78"/>
      <c r="J373" s="78"/>
    </row>
    <row r="374" spans="9:10">
      <c r="I374" s="78"/>
      <c r="J374" s="78"/>
    </row>
    <row r="375" spans="9:10">
      <c r="I375" s="78"/>
      <c r="J375" s="78"/>
    </row>
    <row r="376" spans="9:10">
      <c r="I376" s="78"/>
      <c r="J376" s="78"/>
    </row>
    <row r="377" spans="9:10">
      <c r="I377" s="78"/>
      <c r="J377" s="78"/>
    </row>
    <row r="378" spans="9:10">
      <c r="I378" s="78"/>
      <c r="J378" s="78"/>
    </row>
    <row r="379" spans="9:10">
      <c r="I379" s="78"/>
      <c r="J379" s="78"/>
    </row>
    <row r="380" spans="9:10">
      <c r="I380" s="78"/>
      <c r="J380" s="78"/>
    </row>
    <row r="381" spans="9:10">
      <c r="I381" s="78"/>
      <c r="J381" s="78"/>
    </row>
    <row r="382" spans="9:10">
      <c r="I382" s="78"/>
      <c r="J382" s="78"/>
    </row>
    <row r="383" spans="9:10">
      <c r="I383" s="78"/>
      <c r="J383" s="78"/>
    </row>
    <row r="384" spans="9:10">
      <c r="I384" s="78"/>
      <c r="J384" s="78"/>
    </row>
    <row r="385" spans="9:10">
      <c r="I385" s="78"/>
      <c r="J385" s="78"/>
    </row>
    <row r="386" spans="9:10">
      <c r="I386" s="78"/>
      <c r="J386" s="78"/>
    </row>
    <row r="387" spans="9:10">
      <c r="I387" s="78"/>
      <c r="J387" s="78"/>
    </row>
    <row r="388" spans="9:10">
      <c r="I388" s="78"/>
      <c r="J388" s="78"/>
    </row>
    <row r="389" spans="9:10">
      <c r="I389" s="78"/>
      <c r="J389" s="78"/>
    </row>
    <row r="390" spans="9:10">
      <c r="I390" s="78"/>
      <c r="J390" s="78"/>
    </row>
    <row r="391" spans="9:10">
      <c r="I391" s="78"/>
      <c r="J391" s="78"/>
    </row>
    <row r="392" spans="9:10">
      <c r="I392" s="78"/>
      <c r="J392" s="78"/>
    </row>
    <row r="393" spans="9:10">
      <c r="I393" s="78"/>
      <c r="J393" s="78"/>
    </row>
    <row r="394" spans="9:10">
      <c r="I394" s="78"/>
      <c r="J394" s="78"/>
    </row>
    <row r="395" spans="9:10">
      <c r="I395" s="78"/>
      <c r="J395" s="78"/>
    </row>
    <row r="396" spans="9:10">
      <c r="I396" s="78"/>
      <c r="J396" s="78"/>
    </row>
    <row r="397" spans="9:10">
      <c r="I397" s="78"/>
      <c r="J397" s="78"/>
    </row>
    <row r="398" spans="9:10">
      <c r="I398" s="78"/>
      <c r="J398" s="78"/>
    </row>
    <row r="399" spans="9:10">
      <c r="I399" s="78"/>
      <c r="J399" s="78"/>
    </row>
    <row r="400" spans="9:10">
      <c r="I400" s="78"/>
      <c r="J400" s="78"/>
    </row>
    <row r="401" spans="9:10">
      <c r="I401" s="78"/>
      <c r="J401" s="78"/>
    </row>
    <row r="402" spans="9:10">
      <c r="I402" s="78"/>
      <c r="J402" s="78"/>
    </row>
    <row r="403" spans="9:10">
      <c r="I403" s="78"/>
      <c r="J403" s="78"/>
    </row>
    <row r="404" spans="9:10">
      <c r="I404" s="78"/>
      <c r="J404" s="78"/>
    </row>
    <row r="405" spans="9:10">
      <c r="I405" s="78"/>
      <c r="J405" s="78"/>
    </row>
    <row r="406" spans="9:10">
      <c r="I406" s="78"/>
      <c r="J406" s="78"/>
    </row>
    <row r="407" spans="9:10">
      <c r="I407" s="78"/>
      <c r="J407" s="78"/>
    </row>
    <row r="408" spans="9:10">
      <c r="I408" s="78"/>
      <c r="J408" s="78"/>
    </row>
    <row r="409" spans="9:10">
      <c r="I409" s="78"/>
      <c r="J409" s="78"/>
    </row>
    <row r="410" spans="9:10">
      <c r="I410" s="78"/>
      <c r="J410" s="78"/>
    </row>
    <row r="411" spans="9:10">
      <c r="I411" s="78"/>
      <c r="J411" s="78"/>
    </row>
    <row r="412" spans="9:10">
      <c r="I412" s="78"/>
      <c r="J412" s="78"/>
    </row>
    <row r="413" spans="9:10">
      <c r="I413" s="78"/>
      <c r="J413" s="78"/>
    </row>
    <row r="414" spans="9:10">
      <c r="I414" s="78"/>
      <c r="J414" s="78"/>
    </row>
    <row r="415" spans="9:10">
      <c r="I415" s="78"/>
      <c r="J415" s="78"/>
    </row>
    <row r="416" spans="9:10">
      <c r="I416" s="78"/>
      <c r="J416" s="78"/>
    </row>
    <row r="417" spans="9:10">
      <c r="I417" s="78"/>
      <c r="J417" s="78"/>
    </row>
    <row r="418" spans="9:10">
      <c r="I418" s="78"/>
      <c r="J418" s="78"/>
    </row>
    <row r="419" spans="9:10">
      <c r="I419" s="78"/>
      <c r="J419" s="78"/>
    </row>
    <row r="420" spans="9:10">
      <c r="I420" s="78"/>
      <c r="J420" s="78"/>
    </row>
    <row r="421" spans="9:10">
      <c r="I421" s="78"/>
      <c r="J421" s="78"/>
    </row>
    <row r="422" spans="9:10">
      <c r="I422" s="78"/>
      <c r="J422" s="78"/>
    </row>
    <row r="423" spans="9:10">
      <c r="I423" s="78"/>
      <c r="J423" s="78"/>
    </row>
    <row r="424" spans="9:10">
      <c r="I424" s="78"/>
      <c r="J424" s="78"/>
    </row>
    <row r="425" spans="9:10">
      <c r="I425" s="78"/>
      <c r="J425" s="78"/>
    </row>
    <row r="426" spans="9:10">
      <c r="I426" s="78"/>
      <c r="J426" s="78"/>
    </row>
    <row r="427" spans="9:10">
      <c r="I427" s="78"/>
      <c r="J427" s="78"/>
    </row>
    <row r="428" spans="9:10">
      <c r="I428" s="78"/>
      <c r="J428" s="78"/>
    </row>
    <row r="429" spans="9:10">
      <c r="I429" s="78"/>
      <c r="J429" s="78"/>
    </row>
    <row r="430" spans="9:10">
      <c r="I430" s="78"/>
      <c r="J430" s="78"/>
    </row>
    <row r="431" spans="9:10">
      <c r="I431" s="78"/>
      <c r="J431" s="78"/>
    </row>
    <row r="432" spans="9:10">
      <c r="I432" s="78"/>
      <c r="J432" s="78"/>
    </row>
    <row r="433" spans="9:10">
      <c r="I433" s="78"/>
      <c r="J433" s="78"/>
    </row>
    <row r="434" spans="9:10">
      <c r="I434" s="78"/>
      <c r="J434" s="78"/>
    </row>
    <row r="435" spans="9:10">
      <c r="I435" s="78"/>
      <c r="J435" s="78"/>
    </row>
    <row r="436" spans="9:10">
      <c r="I436" s="78"/>
      <c r="J436" s="78"/>
    </row>
    <row r="437" spans="9:10">
      <c r="I437" s="78"/>
      <c r="J437" s="78"/>
    </row>
    <row r="438" spans="9:10">
      <c r="I438" s="78"/>
      <c r="J438" s="78"/>
    </row>
    <row r="439" spans="9:10">
      <c r="I439" s="78"/>
      <c r="J439" s="78"/>
    </row>
    <row r="440" spans="9:10">
      <c r="I440" s="78"/>
      <c r="J440" s="78"/>
    </row>
    <row r="441" spans="9:10">
      <c r="I441" s="78"/>
      <c r="J441" s="78"/>
    </row>
    <row r="442" spans="9:10">
      <c r="I442" s="78"/>
      <c r="J442" s="78"/>
    </row>
    <row r="443" spans="9:10">
      <c r="I443" s="78"/>
      <c r="J443" s="78"/>
    </row>
    <row r="444" spans="9:10">
      <c r="I444" s="78"/>
      <c r="J444" s="78"/>
    </row>
    <row r="445" spans="9:10">
      <c r="I445" s="78"/>
      <c r="J445" s="78"/>
    </row>
    <row r="446" spans="9:10">
      <c r="I446" s="78"/>
      <c r="J446" s="78"/>
    </row>
    <row r="447" spans="9:10">
      <c r="I447" s="78"/>
      <c r="J447" s="78"/>
    </row>
    <row r="448" spans="9:10">
      <c r="I448" s="78"/>
      <c r="J448" s="78"/>
    </row>
    <row r="449" spans="9:10">
      <c r="I449" s="78"/>
      <c r="J449" s="78"/>
    </row>
    <row r="450" spans="9:10">
      <c r="I450" s="78"/>
      <c r="J450" s="78"/>
    </row>
    <row r="451" spans="9:10">
      <c r="I451" s="78"/>
      <c r="J451" s="78"/>
    </row>
    <row r="452" spans="9:10">
      <c r="I452" s="78"/>
      <c r="J452" s="78"/>
    </row>
    <row r="453" spans="9:10">
      <c r="I453" s="78"/>
      <c r="J453" s="78"/>
    </row>
    <row r="454" spans="9:10">
      <c r="I454" s="78"/>
      <c r="J454" s="78"/>
    </row>
    <row r="455" spans="9:10">
      <c r="I455" s="78"/>
      <c r="J455" s="78"/>
    </row>
    <row r="456" spans="9:10">
      <c r="I456" s="78"/>
      <c r="J456" s="78"/>
    </row>
    <row r="457" spans="9:10">
      <c r="I457" s="78"/>
      <c r="J457" s="78"/>
    </row>
    <row r="458" spans="9:10">
      <c r="I458" s="78"/>
      <c r="J458" s="78"/>
    </row>
    <row r="459" spans="9:10">
      <c r="I459" s="78"/>
      <c r="J459" s="78"/>
    </row>
    <row r="460" spans="9:10">
      <c r="I460" s="78"/>
      <c r="J460" s="78"/>
    </row>
    <row r="461" spans="9:10">
      <c r="I461" s="78"/>
      <c r="J461" s="78"/>
    </row>
    <row r="462" spans="9:10">
      <c r="I462" s="78"/>
      <c r="J462" s="78"/>
    </row>
    <row r="463" spans="9:10">
      <c r="I463" s="78"/>
      <c r="J463" s="78"/>
    </row>
    <row r="464" spans="9:10">
      <c r="I464" s="78"/>
      <c r="J464" s="78"/>
    </row>
    <row r="465" spans="9:10">
      <c r="I465" s="78"/>
      <c r="J465" s="78"/>
    </row>
    <row r="466" spans="9:10">
      <c r="I466" s="78"/>
      <c r="J466" s="78"/>
    </row>
    <row r="467" spans="9:10">
      <c r="I467" s="78"/>
      <c r="J467" s="78"/>
    </row>
    <row r="468" spans="9:10">
      <c r="I468" s="78"/>
      <c r="J468" s="78"/>
    </row>
    <row r="469" spans="9:10">
      <c r="I469" s="78"/>
      <c r="J469" s="78"/>
    </row>
    <row r="470" spans="9:10">
      <c r="I470" s="78"/>
      <c r="J470" s="78"/>
    </row>
    <row r="471" spans="9:10">
      <c r="I471" s="78"/>
      <c r="J471" s="78"/>
    </row>
    <row r="472" spans="9:10">
      <c r="I472" s="78"/>
      <c r="J472" s="78"/>
    </row>
    <row r="473" spans="9:10">
      <c r="I473" s="78"/>
      <c r="J473" s="78"/>
    </row>
    <row r="474" spans="9:10">
      <c r="I474" s="78"/>
      <c r="J474" s="78"/>
    </row>
    <row r="475" spans="9:10">
      <c r="I475" s="78"/>
      <c r="J475" s="78"/>
    </row>
    <row r="476" spans="9:10">
      <c r="I476" s="78"/>
      <c r="J476" s="78"/>
    </row>
    <row r="477" spans="9:10">
      <c r="I477" s="78"/>
      <c r="J477" s="78"/>
    </row>
    <row r="478" spans="9:10">
      <c r="I478" s="78"/>
      <c r="J478" s="78"/>
    </row>
    <row r="479" spans="9:10">
      <c r="I479" s="78"/>
      <c r="J479" s="78"/>
    </row>
    <row r="480" spans="9:10">
      <c r="I480" s="78"/>
      <c r="J480" s="78"/>
    </row>
    <row r="481" spans="9:10">
      <c r="I481" s="78"/>
      <c r="J481" s="78"/>
    </row>
    <row r="482" spans="9:10">
      <c r="I482" s="78"/>
      <c r="J482" s="78"/>
    </row>
    <row r="483" spans="9:10">
      <c r="I483" s="78"/>
      <c r="J483" s="78"/>
    </row>
    <row r="484" spans="9:10">
      <c r="I484" s="78"/>
      <c r="J484" s="78"/>
    </row>
    <row r="485" spans="9:10">
      <c r="I485" s="78"/>
      <c r="J485" s="78"/>
    </row>
    <row r="486" spans="9:10">
      <c r="I486" s="78"/>
      <c r="J486" s="78"/>
    </row>
    <row r="487" spans="9:10">
      <c r="I487" s="78"/>
      <c r="J487" s="78"/>
    </row>
    <row r="488" spans="9:10">
      <c r="I488" s="78"/>
      <c r="J488" s="78"/>
    </row>
    <row r="489" spans="9:10">
      <c r="I489" s="78"/>
      <c r="J489" s="78"/>
    </row>
    <row r="490" spans="9:10">
      <c r="I490" s="78"/>
      <c r="J490" s="78"/>
    </row>
    <row r="491" spans="9:10">
      <c r="I491" s="78"/>
      <c r="J491" s="78"/>
    </row>
    <row r="492" spans="9:10">
      <c r="I492" s="78"/>
      <c r="J492" s="78"/>
    </row>
    <row r="493" spans="9:10">
      <c r="I493" s="78"/>
      <c r="J493" s="78"/>
    </row>
    <row r="494" spans="9:10">
      <c r="I494" s="78"/>
      <c r="J494" s="78"/>
    </row>
    <row r="495" spans="9:10">
      <c r="I495" s="78"/>
      <c r="J495" s="78"/>
    </row>
    <row r="496" spans="9:10">
      <c r="I496" s="78"/>
      <c r="J496" s="78"/>
    </row>
    <row r="497" spans="9:10">
      <c r="I497" s="78"/>
      <c r="J497" s="78"/>
    </row>
    <row r="498" spans="9:10">
      <c r="I498" s="78"/>
      <c r="J498" s="78"/>
    </row>
    <row r="499" spans="9:10">
      <c r="I499" s="78"/>
      <c r="J499" s="78"/>
    </row>
    <row r="500" spans="9:10">
      <c r="I500" s="78"/>
      <c r="J500" s="78"/>
    </row>
    <row r="501" spans="9:10">
      <c r="I501" s="78"/>
      <c r="J501" s="78"/>
    </row>
    <row r="502" spans="9:10">
      <c r="I502" s="78"/>
      <c r="J502" s="78"/>
    </row>
    <row r="503" spans="9:10">
      <c r="I503" s="78"/>
      <c r="J503" s="78"/>
    </row>
    <row r="504" spans="9:10">
      <c r="I504" s="78"/>
      <c r="J504" s="78"/>
    </row>
    <row r="505" spans="9:10">
      <c r="I505" s="78"/>
      <c r="J505" s="78"/>
    </row>
    <row r="506" spans="9:10">
      <c r="I506" s="78"/>
      <c r="J506" s="78"/>
    </row>
    <row r="507" spans="9:10">
      <c r="I507" s="78"/>
      <c r="J507" s="78"/>
    </row>
    <row r="508" spans="9:10">
      <c r="I508" s="78"/>
      <c r="J508" s="78"/>
    </row>
    <row r="509" spans="9:10">
      <c r="I509" s="78"/>
      <c r="J509" s="78"/>
    </row>
    <row r="510" spans="9:10">
      <c r="I510" s="78"/>
      <c r="J510" s="78"/>
    </row>
    <row r="511" spans="9:10">
      <c r="I511" s="78"/>
      <c r="J511" s="78"/>
    </row>
    <row r="512" spans="9:10">
      <c r="I512" s="78"/>
      <c r="J512" s="78"/>
    </row>
    <row r="513" spans="9:10">
      <c r="I513" s="78"/>
      <c r="J513" s="78"/>
    </row>
    <row r="514" spans="9:10">
      <c r="I514" s="78"/>
      <c r="J514" s="78"/>
    </row>
    <row r="515" spans="9:10">
      <c r="I515" s="78"/>
      <c r="J515" s="78"/>
    </row>
    <row r="516" spans="9:10">
      <c r="I516" s="78"/>
      <c r="J516" s="78"/>
    </row>
    <row r="517" spans="9:10">
      <c r="I517" s="78"/>
      <c r="J517" s="78"/>
    </row>
    <row r="518" spans="9:10">
      <c r="I518" s="78"/>
      <c r="J518" s="78"/>
    </row>
    <row r="519" spans="9:10">
      <c r="I519" s="78"/>
      <c r="J519" s="78"/>
    </row>
    <row r="520" spans="9:10">
      <c r="I520" s="78"/>
      <c r="J520" s="78"/>
    </row>
    <row r="521" spans="9:10">
      <c r="I521" s="78"/>
      <c r="J521" s="78"/>
    </row>
    <row r="522" spans="9:10">
      <c r="I522" s="78"/>
      <c r="J522" s="78"/>
    </row>
    <row r="523" spans="9:10">
      <c r="I523" s="78"/>
      <c r="J523" s="78"/>
    </row>
    <row r="524" spans="9:10">
      <c r="I524" s="78"/>
      <c r="J524" s="78"/>
    </row>
    <row r="525" spans="9:10">
      <c r="I525" s="78"/>
      <c r="J525" s="78"/>
    </row>
    <row r="526" spans="9:10">
      <c r="I526" s="78"/>
      <c r="J526" s="78"/>
    </row>
    <row r="527" spans="9:10">
      <c r="I527" s="78"/>
      <c r="J527" s="78"/>
    </row>
    <row r="528" spans="9:10">
      <c r="I528" s="78"/>
      <c r="J528" s="78"/>
    </row>
    <row r="529" spans="9:10">
      <c r="I529" s="78"/>
      <c r="J529" s="78"/>
    </row>
    <row r="530" spans="9:10">
      <c r="I530" s="78"/>
      <c r="J530" s="78"/>
    </row>
    <row r="531" spans="9:10">
      <c r="I531" s="78"/>
      <c r="J531" s="78"/>
    </row>
    <row r="532" spans="9:10">
      <c r="I532" s="78"/>
      <c r="J532" s="78"/>
    </row>
    <row r="533" spans="9:10">
      <c r="I533" s="78"/>
      <c r="J533" s="78"/>
    </row>
    <row r="534" spans="9:10">
      <c r="I534" s="78"/>
      <c r="J534" s="78"/>
    </row>
    <row r="535" spans="9:10">
      <c r="I535" s="78"/>
      <c r="J535" s="78"/>
    </row>
    <row r="536" spans="9:10">
      <c r="I536" s="78"/>
      <c r="J536" s="78"/>
    </row>
    <row r="537" spans="9:10">
      <c r="I537" s="78"/>
      <c r="J537" s="78"/>
    </row>
    <row r="538" spans="9:10">
      <c r="I538" s="78"/>
      <c r="J538" s="78"/>
    </row>
    <row r="539" spans="9:10">
      <c r="I539" s="78"/>
      <c r="J539" s="78"/>
    </row>
    <row r="540" spans="9:10">
      <c r="I540" s="78"/>
      <c r="J540" s="78"/>
    </row>
    <row r="541" spans="9:10">
      <c r="I541" s="78"/>
      <c r="J541" s="78"/>
    </row>
    <row r="542" spans="9:10">
      <c r="I542" s="78"/>
      <c r="J542" s="78"/>
    </row>
    <row r="543" spans="9:10">
      <c r="I543" s="78"/>
      <c r="J543" s="78"/>
    </row>
    <row r="544" spans="9:10">
      <c r="I544" s="78"/>
      <c r="J544" s="78"/>
    </row>
    <row r="545" spans="9:10">
      <c r="I545" s="78"/>
      <c r="J545" s="78"/>
    </row>
    <row r="546" spans="9:10">
      <c r="I546" s="78"/>
      <c r="J546" s="78"/>
    </row>
    <row r="547" spans="9:10">
      <c r="I547" s="78"/>
      <c r="J547" s="78"/>
    </row>
    <row r="548" spans="9:10">
      <c r="I548" s="78"/>
      <c r="J548" s="78"/>
    </row>
    <row r="549" spans="9:10">
      <c r="I549" s="78"/>
      <c r="J549" s="78"/>
    </row>
    <row r="550" spans="9:10">
      <c r="I550" s="78"/>
      <c r="J550" s="78"/>
    </row>
    <row r="551" spans="9:10">
      <c r="I551" s="78"/>
      <c r="J551" s="78"/>
    </row>
    <row r="552" spans="9:10">
      <c r="I552" s="78"/>
      <c r="J552" s="78"/>
    </row>
    <row r="553" spans="9:10">
      <c r="I553" s="78"/>
      <c r="J553" s="78"/>
    </row>
    <row r="554" spans="9:10">
      <c r="I554" s="78"/>
      <c r="J554" s="78"/>
    </row>
    <row r="555" spans="9:10">
      <c r="I555" s="78"/>
      <c r="J555" s="78"/>
    </row>
    <row r="556" spans="9:10">
      <c r="I556" s="78"/>
      <c r="J556" s="78"/>
    </row>
    <row r="557" spans="9:10">
      <c r="I557" s="78"/>
      <c r="J557" s="78"/>
    </row>
    <row r="558" spans="9:10">
      <c r="I558" s="78"/>
      <c r="J558" s="78"/>
    </row>
    <row r="559" spans="9:10">
      <c r="I559" s="78"/>
      <c r="J559" s="78"/>
    </row>
    <row r="560" spans="9:10">
      <c r="I560" s="78"/>
      <c r="J560" s="78"/>
    </row>
    <row r="561" spans="9:10">
      <c r="I561" s="78"/>
      <c r="J561" s="78"/>
    </row>
    <row r="562" spans="9:10">
      <c r="I562" s="78"/>
      <c r="J562" s="78"/>
    </row>
    <row r="563" spans="9:10">
      <c r="I563" s="78"/>
      <c r="J563" s="78"/>
    </row>
    <row r="564" spans="9:10">
      <c r="I564" s="78"/>
      <c r="J564" s="78"/>
    </row>
    <row r="565" spans="9:10">
      <c r="I565" s="78"/>
      <c r="J565" s="78"/>
    </row>
    <row r="566" spans="9:10">
      <c r="I566" s="78"/>
      <c r="J566" s="78"/>
    </row>
    <row r="567" spans="9:10">
      <c r="I567" s="78"/>
      <c r="J567" s="78"/>
    </row>
    <row r="568" spans="9:10">
      <c r="I568" s="78"/>
      <c r="J568" s="78"/>
    </row>
    <row r="569" spans="9:10">
      <c r="I569" s="78"/>
      <c r="J569" s="78"/>
    </row>
    <row r="570" spans="9:10">
      <c r="I570" s="78"/>
      <c r="J570" s="78"/>
    </row>
    <row r="571" spans="9:10">
      <c r="I571" s="78"/>
      <c r="J571" s="78"/>
    </row>
    <row r="572" spans="9:10">
      <c r="I572" s="78"/>
      <c r="J572" s="78"/>
    </row>
    <row r="573" spans="9:10">
      <c r="I573" s="78"/>
      <c r="J573" s="78"/>
    </row>
    <row r="574" spans="9:10">
      <c r="I574" s="78"/>
      <c r="J574" s="78"/>
    </row>
    <row r="575" spans="9:10">
      <c r="I575" s="78"/>
      <c r="J575" s="78"/>
    </row>
    <row r="576" spans="9:10">
      <c r="I576" s="78"/>
      <c r="J576" s="78"/>
    </row>
    <row r="577" spans="9:10">
      <c r="I577" s="78"/>
      <c r="J577" s="78"/>
    </row>
    <row r="578" spans="9:10">
      <c r="I578" s="78"/>
      <c r="J578" s="78"/>
    </row>
    <row r="579" spans="9:10">
      <c r="I579" s="78"/>
      <c r="J579" s="78"/>
    </row>
    <row r="580" spans="9:10">
      <c r="I580" s="78"/>
      <c r="J580" s="78"/>
    </row>
    <row r="581" spans="9:10">
      <c r="I581" s="78"/>
      <c r="J581" s="78"/>
    </row>
    <row r="582" spans="9:10">
      <c r="I582" s="78"/>
      <c r="J582" s="78"/>
    </row>
    <row r="583" spans="9:10">
      <c r="I583" s="78"/>
      <c r="J583" s="78"/>
    </row>
    <row r="584" spans="9:10">
      <c r="I584" s="78"/>
      <c r="J584" s="78"/>
    </row>
    <row r="585" spans="9:10">
      <c r="I585" s="78"/>
      <c r="J585" s="78"/>
    </row>
    <row r="586" spans="9:10">
      <c r="I586" s="78"/>
      <c r="J586" s="78"/>
    </row>
    <row r="587" spans="9:10">
      <c r="I587" s="78"/>
      <c r="J587" s="78"/>
    </row>
    <row r="588" spans="9:10">
      <c r="I588" s="78"/>
      <c r="J588" s="78"/>
    </row>
    <row r="589" spans="9:10">
      <c r="I589" s="78"/>
      <c r="J589" s="78"/>
    </row>
    <row r="590" spans="9:10">
      <c r="I590" s="78"/>
      <c r="J590" s="78"/>
    </row>
    <row r="591" spans="9:10">
      <c r="I591" s="78"/>
      <c r="J591" s="78"/>
    </row>
    <row r="592" spans="9:10">
      <c r="I592" s="78"/>
      <c r="J592" s="78"/>
    </row>
    <row r="593" spans="9:10">
      <c r="I593" s="78"/>
      <c r="J593" s="78"/>
    </row>
    <row r="594" spans="9:10">
      <c r="I594" s="78"/>
      <c r="J594" s="78"/>
    </row>
    <row r="595" spans="9:10">
      <c r="I595" s="78"/>
      <c r="J595" s="78"/>
    </row>
    <row r="596" spans="9:10">
      <c r="I596" s="78"/>
      <c r="J596" s="78"/>
    </row>
    <row r="597" spans="9:10">
      <c r="I597" s="78"/>
      <c r="J597" s="78"/>
    </row>
    <row r="598" spans="9:10">
      <c r="I598" s="78"/>
      <c r="J598" s="78"/>
    </row>
    <row r="599" spans="9:10">
      <c r="I599" s="78"/>
      <c r="J599" s="78"/>
    </row>
    <row r="600" spans="9:10">
      <c r="I600" s="78"/>
      <c r="J600" s="78"/>
    </row>
    <row r="601" spans="9:10">
      <c r="I601" s="78"/>
      <c r="J601" s="78"/>
    </row>
    <row r="602" spans="9:10">
      <c r="I602" s="78"/>
      <c r="J602" s="78"/>
    </row>
    <row r="603" spans="9:10">
      <c r="I603" s="78"/>
      <c r="J603" s="78"/>
    </row>
    <row r="604" spans="9:10">
      <c r="I604" s="78"/>
      <c r="J604" s="78"/>
    </row>
    <row r="605" spans="9:10">
      <c r="I605" s="78"/>
      <c r="J605" s="78"/>
    </row>
    <row r="606" spans="9:10">
      <c r="I606" s="78"/>
      <c r="J606" s="78"/>
    </row>
    <row r="607" spans="9:10">
      <c r="I607" s="78"/>
      <c r="J607" s="78"/>
    </row>
    <row r="608" spans="9:10">
      <c r="I608" s="78"/>
      <c r="J608" s="78"/>
    </row>
    <row r="609" spans="9:10">
      <c r="I609" s="78"/>
      <c r="J609" s="78"/>
    </row>
    <row r="610" spans="9:10">
      <c r="I610" s="78"/>
      <c r="J610" s="78"/>
    </row>
    <row r="611" spans="9:10">
      <c r="I611" s="78"/>
      <c r="J611" s="78"/>
    </row>
    <row r="612" spans="9:10">
      <c r="I612" s="78"/>
      <c r="J612" s="78"/>
    </row>
    <row r="613" spans="9:10">
      <c r="I613" s="78"/>
      <c r="J613" s="78"/>
    </row>
    <row r="614" spans="9:10">
      <c r="I614" s="78"/>
      <c r="J614" s="78"/>
    </row>
    <row r="615" spans="9:10">
      <c r="I615" s="78"/>
      <c r="J615" s="78"/>
    </row>
    <row r="616" spans="9:10">
      <c r="I616" s="78"/>
      <c r="J616" s="78"/>
    </row>
    <row r="617" spans="9:10">
      <c r="I617" s="78"/>
      <c r="J617" s="78"/>
    </row>
    <row r="618" spans="9:10">
      <c r="I618" s="78"/>
      <c r="J618" s="78"/>
    </row>
    <row r="619" spans="9:10">
      <c r="I619" s="78"/>
      <c r="J619" s="78"/>
    </row>
    <row r="620" spans="9:10">
      <c r="I620" s="78"/>
      <c r="J620" s="78"/>
    </row>
    <row r="621" spans="9:10">
      <c r="I621" s="78"/>
      <c r="J621" s="78"/>
    </row>
    <row r="622" spans="9:10">
      <c r="I622" s="78"/>
      <c r="J622" s="78"/>
    </row>
    <row r="623" spans="9:10">
      <c r="I623" s="78"/>
      <c r="J623" s="78"/>
    </row>
    <row r="624" spans="9:10">
      <c r="I624" s="78"/>
      <c r="J624" s="78"/>
    </row>
    <row r="625" spans="9:10">
      <c r="I625" s="78"/>
      <c r="J625" s="78"/>
    </row>
    <row r="626" spans="9:10">
      <c r="I626" s="78"/>
      <c r="J626" s="78"/>
    </row>
    <row r="627" spans="9:10">
      <c r="I627" s="78"/>
      <c r="J627" s="78"/>
    </row>
    <row r="628" spans="9:10">
      <c r="I628" s="78"/>
      <c r="J628" s="78"/>
    </row>
    <row r="629" spans="9:10">
      <c r="I629" s="78"/>
      <c r="J629" s="78"/>
    </row>
    <row r="630" spans="9:10">
      <c r="I630" s="78"/>
      <c r="J630" s="78"/>
    </row>
    <row r="631" spans="9:10">
      <c r="I631" s="78"/>
      <c r="J631" s="78"/>
    </row>
    <row r="632" spans="9:10">
      <c r="I632" s="78"/>
      <c r="J632" s="78"/>
    </row>
    <row r="633" spans="9:10">
      <c r="I633" s="78"/>
      <c r="J633" s="78"/>
    </row>
    <row r="634" spans="9:10">
      <c r="I634" s="78"/>
      <c r="J634" s="78"/>
    </row>
    <row r="635" spans="9:10">
      <c r="I635" s="78"/>
      <c r="J635" s="78"/>
    </row>
    <row r="636" spans="9:10">
      <c r="I636" s="78"/>
      <c r="J636" s="78"/>
    </row>
    <row r="637" spans="9:10">
      <c r="I637" s="78"/>
      <c r="J637" s="78"/>
    </row>
    <row r="638" spans="9:10">
      <c r="I638" s="78"/>
      <c r="J638" s="78"/>
    </row>
    <row r="639" spans="9:10">
      <c r="I639" s="78"/>
      <c r="J639" s="78"/>
    </row>
    <row r="640" spans="9:10">
      <c r="I640" s="78"/>
      <c r="J640" s="78"/>
    </row>
    <row r="641" spans="9:10">
      <c r="I641" s="78"/>
      <c r="J641" s="78"/>
    </row>
    <row r="642" spans="9:10">
      <c r="I642" s="78"/>
      <c r="J642" s="78"/>
    </row>
    <row r="643" spans="9:10">
      <c r="I643" s="78"/>
      <c r="J643" s="78"/>
    </row>
    <row r="644" spans="9:10">
      <c r="I644" s="78"/>
      <c r="J644" s="78"/>
    </row>
    <row r="645" spans="9:10">
      <c r="I645" s="78"/>
      <c r="J645" s="78"/>
    </row>
    <row r="646" spans="9:10">
      <c r="I646" s="78"/>
      <c r="J646" s="78"/>
    </row>
    <row r="647" spans="9:10">
      <c r="I647" s="78"/>
      <c r="J647" s="78"/>
    </row>
    <row r="648" spans="9:10">
      <c r="I648" s="78"/>
      <c r="J648" s="78"/>
    </row>
    <row r="649" spans="9:10">
      <c r="I649" s="78"/>
      <c r="J649" s="78"/>
    </row>
    <row r="650" spans="9:10">
      <c r="I650" s="78"/>
      <c r="J650" s="78"/>
    </row>
    <row r="651" spans="9:10">
      <c r="I651" s="78"/>
      <c r="J651" s="78"/>
    </row>
    <row r="652" spans="9:10">
      <c r="I652" s="78"/>
      <c r="J652" s="78"/>
    </row>
    <row r="653" spans="9:10">
      <c r="I653" s="78"/>
      <c r="J653" s="78"/>
    </row>
    <row r="654" spans="9:10">
      <c r="I654" s="78"/>
      <c r="J654" s="78"/>
    </row>
    <row r="655" spans="9:10">
      <c r="I655" s="78"/>
      <c r="J655" s="78"/>
    </row>
    <row r="656" spans="9:10">
      <c r="I656" s="78"/>
      <c r="J656" s="78"/>
    </row>
    <row r="657" spans="9:10">
      <c r="I657" s="78"/>
      <c r="J657" s="78"/>
    </row>
    <row r="658" spans="9:10">
      <c r="I658" s="78"/>
      <c r="J658" s="78"/>
    </row>
    <row r="659" spans="9:10">
      <c r="I659" s="78"/>
      <c r="J659" s="78"/>
    </row>
    <row r="660" spans="9:10">
      <c r="I660" s="78"/>
      <c r="J660" s="78"/>
    </row>
    <row r="661" spans="9:10">
      <c r="I661" s="78"/>
      <c r="J661" s="78"/>
    </row>
    <row r="662" spans="9:10">
      <c r="I662" s="78"/>
      <c r="J662" s="78"/>
    </row>
    <row r="663" spans="9:10">
      <c r="I663" s="78"/>
      <c r="J663" s="78"/>
    </row>
    <row r="664" spans="9:10">
      <c r="I664" s="78"/>
      <c r="J664" s="78"/>
    </row>
    <row r="665" spans="9:10">
      <c r="I665" s="78"/>
      <c r="J665" s="78"/>
    </row>
    <row r="666" spans="9:10">
      <c r="I666" s="78"/>
      <c r="J666" s="78"/>
    </row>
    <row r="667" spans="9:10">
      <c r="I667" s="78"/>
      <c r="J667" s="78"/>
    </row>
    <row r="668" spans="9:10">
      <c r="I668" s="78"/>
      <c r="J668" s="78"/>
    </row>
    <row r="669" spans="9:10">
      <c r="I669" s="78"/>
      <c r="J669" s="78"/>
    </row>
    <row r="670" spans="9:10">
      <c r="I670" s="78"/>
      <c r="J670" s="78"/>
    </row>
    <row r="671" spans="9:10">
      <c r="I671" s="78"/>
      <c r="J671" s="78"/>
    </row>
    <row r="672" spans="9:10">
      <c r="I672" s="78"/>
      <c r="J672" s="78"/>
    </row>
    <row r="673" spans="9:10">
      <c r="I673" s="78"/>
      <c r="J673" s="78"/>
    </row>
    <row r="674" spans="9:10">
      <c r="I674" s="78"/>
      <c r="J674" s="78"/>
    </row>
    <row r="675" spans="9:10">
      <c r="I675" s="78"/>
      <c r="J675" s="78"/>
    </row>
    <row r="676" spans="9:10">
      <c r="I676" s="78"/>
      <c r="J676" s="78"/>
    </row>
    <row r="677" spans="9:10">
      <c r="I677" s="78"/>
      <c r="J677" s="78"/>
    </row>
    <row r="678" spans="9:10">
      <c r="I678" s="78"/>
      <c r="J678" s="78"/>
    </row>
    <row r="679" spans="9:10">
      <c r="I679" s="78"/>
      <c r="J679" s="78"/>
    </row>
    <row r="680" spans="9:10">
      <c r="I680" s="78"/>
      <c r="J680" s="78"/>
    </row>
    <row r="681" spans="9:10">
      <c r="I681" s="78"/>
      <c r="J681" s="78"/>
    </row>
    <row r="682" spans="9:10">
      <c r="I682" s="78"/>
      <c r="J682" s="78"/>
    </row>
    <row r="683" spans="9:10">
      <c r="I683" s="78"/>
      <c r="J683" s="78"/>
    </row>
    <row r="684" spans="9:10">
      <c r="I684" s="78"/>
      <c r="J684" s="78"/>
    </row>
    <row r="685" spans="9:10">
      <c r="I685" s="78"/>
      <c r="J685" s="78"/>
    </row>
    <row r="686" spans="9:10">
      <c r="I686" s="78"/>
      <c r="J686" s="78"/>
    </row>
    <row r="687" spans="9:10">
      <c r="I687" s="78"/>
      <c r="J687" s="78"/>
    </row>
    <row r="688" spans="9:10">
      <c r="I688" s="78"/>
      <c r="J688" s="78"/>
    </row>
    <row r="689" spans="9:10">
      <c r="I689" s="78"/>
      <c r="J689" s="78"/>
    </row>
    <row r="690" spans="9:10">
      <c r="I690" s="78"/>
      <c r="J690" s="78"/>
    </row>
    <row r="691" spans="9:10">
      <c r="I691" s="78"/>
      <c r="J691" s="78"/>
    </row>
    <row r="692" spans="9:10">
      <c r="I692" s="78"/>
      <c r="J692" s="78"/>
    </row>
    <row r="693" spans="9:10">
      <c r="I693" s="78"/>
      <c r="J693" s="78"/>
    </row>
    <row r="694" spans="9:10">
      <c r="I694" s="78"/>
      <c r="J694" s="78"/>
    </row>
    <row r="695" spans="9:10">
      <c r="I695" s="78"/>
      <c r="J695" s="78"/>
    </row>
    <row r="696" spans="9:10">
      <c r="I696" s="78"/>
      <c r="J696" s="78"/>
    </row>
    <row r="697" spans="9:10">
      <c r="I697" s="78"/>
      <c r="J697" s="78"/>
    </row>
    <row r="698" spans="9:10">
      <c r="I698" s="78"/>
      <c r="J698" s="78"/>
    </row>
    <row r="699" spans="9:10">
      <c r="I699" s="78"/>
      <c r="J699" s="78"/>
    </row>
    <row r="700" spans="9:10">
      <c r="I700" s="78"/>
      <c r="J700" s="78"/>
    </row>
    <row r="701" spans="9:10">
      <c r="I701" s="78"/>
      <c r="J701" s="78"/>
    </row>
    <row r="702" spans="9:10">
      <c r="I702" s="78"/>
      <c r="J702" s="78"/>
    </row>
    <row r="703" spans="9:10">
      <c r="I703" s="78"/>
      <c r="J703" s="78"/>
    </row>
    <row r="704" spans="9:10">
      <c r="I704" s="78"/>
      <c r="J704" s="78"/>
    </row>
    <row r="705" spans="9:10">
      <c r="I705" s="78"/>
      <c r="J705" s="78"/>
    </row>
    <row r="706" spans="9:10">
      <c r="I706" s="78"/>
      <c r="J706" s="78"/>
    </row>
    <row r="707" spans="9:10">
      <c r="I707" s="78"/>
      <c r="J707" s="78"/>
    </row>
    <row r="708" spans="9:10">
      <c r="I708" s="78"/>
      <c r="J708" s="78"/>
    </row>
    <row r="709" spans="9:10">
      <c r="I709" s="78"/>
      <c r="J709" s="78"/>
    </row>
    <row r="710" spans="9:10">
      <c r="I710" s="78"/>
      <c r="J710" s="78"/>
    </row>
    <row r="711" spans="9:10">
      <c r="I711" s="78"/>
      <c r="J711" s="78"/>
    </row>
    <row r="712" spans="9:10">
      <c r="I712" s="78"/>
      <c r="J712" s="78"/>
    </row>
    <row r="713" spans="9:10">
      <c r="I713" s="78"/>
      <c r="J713" s="78"/>
    </row>
    <row r="714" spans="9:10">
      <c r="I714" s="78"/>
      <c r="J714" s="78"/>
    </row>
    <row r="715" spans="9:10">
      <c r="I715" s="78"/>
      <c r="J715" s="78"/>
    </row>
    <row r="716" spans="9:10">
      <c r="I716" s="78"/>
      <c r="J716" s="78"/>
    </row>
    <row r="717" spans="9:10">
      <c r="I717" s="78"/>
      <c r="J717" s="78"/>
    </row>
    <row r="718" spans="9:10">
      <c r="I718" s="78"/>
      <c r="J718" s="78"/>
    </row>
    <row r="719" spans="9:10">
      <c r="I719" s="78"/>
      <c r="J719" s="78"/>
    </row>
    <row r="720" spans="9:10">
      <c r="I720" s="78"/>
      <c r="J720" s="78"/>
    </row>
    <row r="721" spans="9:10">
      <c r="I721" s="78"/>
      <c r="J721" s="78"/>
    </row>
    <row r="722" spans="9:10">
      <c r="I722" s="78"/>
      <c r="J722" s="78"/>
    </row>
    <row r="723" spans="9:10">
      <c r="I723" s="78"/>
      <c r="J723" s="78"/>
    </row>
    <row r="724" spans="9:10">
      <c r="I724" s="78"/>
      <c r="J724" s="78"/>
    </row>
    <row r="725" spans="9:10">
      <c r="I725" s="78"/>
      <c r="J725" s="78"/>
    </row>
    <row r="726" spans="9:10">
      <c r="I726" s="78"/>
      <c r="J726" s="78"/>
    </row>
    <row r="727" spans="9:10">
      <c r="I727" s="78"/>
      <c r="J727" s="78"/>
    </row>
    <row r="728" spans="9:10">
      <c r="I728" s="78"/>
      <c r="J728" s="78"/>
    </row>
    <row r="729" spans="9:10">
      <c r="I729" s="78"/>
      <c r="J729" s="78"/>
    </row>
    <row r="730" spans="9:10">
      <c r="I730" s="78"/>
      <c r="J730" s="78"/>
    </row>
    <row r="731" spans="9:10">
      <c r="I731" s="78"/>
      <c r="J731" s="78"/>
    </row>
    <row r="732" spans="9:10">
      <c r="I732" s="78"/>
      <c r="J732" s="78"/>
    </row>
    <row r="733" spans="9:10">
      <c r="I733" s="78"/>
      <c r="J733" s="78"/>
    </row>
    <row r="734" spans="9:10">
      <c r="I734" s="78"/>
      <c r="J734" s="78"/>
    </row>
    <row r="735" spans="9:10">
      <c r="I735" s="78"/>
      <c r="J735" s="78"/>
    </row>
    <row r="736" spans="9:10">
      <c r="I736" s="78"/>
      <c r="J736" s="78"/>
    </row>
    <row r="737" spans="9:10">
      <c r="I737" s="78"/>
      <c r="J737" s="78"/>
    </row>
    <row r="738" spans="9:10">
      <c r="I738" s="78"/>
      <c r="J738" s="78"/>
    </row>
    <row r="739" spans="9:10">
      <c r="I739" s="78"/>
      <c r="J739" s="78"/>
    </row>
    <row r="740" spans="9:10">
      <c r="I740" s="78"/>
      <c r="J740" s="78"/>
    </row>
    <row r="741" spans="9:10">
      <c r="I741" s="78"/>
      <c r="J741" s="78"/>
    </row>
    <row r="742" spans="9:10">
      <c r="I742" s="78"/>
      <c r="J742" s="78"/>
    </row>
    <row r="743" spans="9:10">
      <c r="I743" s="78"/>
      <c r="J743" s="78"/>
    </row>
    <row r="744" spans="9:10">
      <c r="I744" s="78"/>
      <c r="J744" s="78"/>
    </row>
    <row r="745" spans="9:10">
      <c r="I745" s="78"/>
      <c r="J745" s="78"/>
    </row>
    <row r="746" spans="9:10">
      <c r="I746" s="78"/>
      <c r="J746" s="78"/>
    </row>
    <row r="747" spans="9:10">
      <c r="I747" s="78"/>
      <c r="J747" s="78"/>
    </row>
    <row r="748" spans="9:10">
      <c r="I748" s="78"/>
      <c r="J748" s="78"/>
    </row>
    <row r="749" spans="9:10">
      <c r="I749" s="78"/>
      <c r="J749" s="78"/>
    </row>
    <row r="750" spans="9:10">
      <c r="I750" s="78"/>
      <c r="J750" s="78"/>
    </row>
    <row r="751" spans="9:10">
      <c r="I751" s="78"/>
      <c r="J751" s="78"/>
    </row>
    <row r="752" spans="9:10">
      <c r="I752" s="78"/>
      <c r="J752" s="78"/>
    </row>
    <row r="753" spans="9:10">
      <c r="I753" s="78"/>
      <c r="J753" s="78"/>
    </row>
    <row r="754" spans="9:10">
      <c r="I754" s="78"/>
      <c r="J754" s="78"/>
    </row>
    <row r="755" spans="9:10">
      <c r="I755" s="78"/>
      <c r="J755" s="78"/>
    </row>
    <row r="756" spans="9:10">
      <c r="I756" s="78"/>
      <c r="J756" s="78"/>
    </row>
    <row r="757" spans="9:10">
      <c r="I757" s="78"/>
      <c r="J757" s="78"/>
    </row>
    <row r="758" spans="9:10">
      <c r="I758" s="78"/>
      <c r="J758" s="78"/>
    </row>
    <row r="759" spans="9:10">
      <c r="I759" s="78"/>
      <c r="J759" s="78"/>
    </row>
    <row r="760" spans="9:10">
      <c r="I760" s="78"/>
      <c r="J760" s="78"/>
    </row>
    <row r="761" spans="9:10">
      <c r="I761" s="78"/>
      <c r="J761" s="78"/>
    </row>
    <row r="762" spans="9:10">
      <c r="I762" s="78"/>
      <c r="J762" s="78"/>
    </row>
    <row r="763" spans="9:10">
      <c r="I763" s="78"/>
      <c r="J763" s="78"/>
    </row>
    <row r="764" spans="9:10">
      <c r="I764" s="78"/>
      <c r="J764" s="78"/>
    </row>
    <row r="765" spans="9:10">
      <c r="I765" s="78"/>
      <c r="J765" s="78"/>
    </row>
    <row r="766" spans="9:10">
      <c r="I766" s="78"/>
      <c r="J766" s="78"/>
    </row>
    <row r="767" spans="9:10">
      <c r="I767" s="78"/>
      <c r="J767" s="78"/>
    </row>
    <row r="768" spans="9:10">
      <c r="I768" s="78"/>
      <c r="J768" s="78"/>
    </row>
    <row r="769" spans="9:10">
      <c r="I769" s="78"/>
      <c r="J769" s="78"/>
    </row>
    <row r="770" spans="9:10">
      <c r="I770" s="78"/>
      <c r="J770" s="78"/>
    </row>
    <row r="771" spans="9:10">
      <c r="I771" s="78"/>
      <c r="J771" s="78"/>
    </row>
    <row r="772" spans="9:10">
      <c r="I772" s="78"/>
      <c r="J772" s="78"/>
    </row>
    <row r="773" spans="9:10">
      <c r="I773" s="78"/>
      <c r="J773" s="78"/>
    </row>
    <row r="774" spans="9:10">
      <c r="I774" s="78"/>
      <c r="J774" s="78"/>
    </row>
    <row r="775" spans="9:10">
      <c r="I775" s="78"/>
      <c r="J775" s="78"/>
    </row>
    <row r="776" spans="9:10">
      <c r="I776" s="78"/>
      <c r="J776" s="78"/>
    </row>
    <row r="777" spans="9:10">
      <c r="I777" s="78"/>
      <c r="J777" s="78"/>
    </row>
    <row r="778" spans="9:10">
      <c r="I778" s="78"/>
      <c r="J778" s="78"/>
    </row>
    <row r="779" spans="9:10">
      <c r="I779" s="78"/>
      <c r="J779" s="78"/>
    </row>
    <row r="780" spans="9:10">
      <c r="I780" s="78"/>
      <c r="J780" s="78"/>
    </row>
    <row r="781" spans="9:10">
      <c r="I781" s="78"/>
      <c r="J781" s="78"/>
    </row>
    <row r="782" spans="9:10">
      <c r="I782" s="78"/>
      <c r="J782" s="78"/>
    </row>
    <row r="783" spans="9:10">
      <c r="I783" s="78"/>
      <c r="J783" s="78"/>
    </row>
    <row r="784" spans="9:10">
      <c r="I784" s="78"/>
      <c r="J784" s="78"/>
    </row>
    <row r="785" spans="9:10">
      <c r="I785" s="78"/>
      <c r="J785" s="78"/>
    </row>
    <row r="786" spans="9:10">
      <c r="I786" s="78"/>
      <c r="J786" s="78"/>
    </row>
    <row r="787" spans="9:10">
      <c r="I787" s="78"/>
      <c r="J787" s="78"/>
    </row>
    <row r="788" spans="9:10">
      <c r="I788" s="78"/>
      <c r="J788" s="78"/>
    </row>
    <row r="789" spans="9:10">
      <c r="I789" s="78"/>
      <c r="J789" s="78"/>
    </row>
    <row r="790" spans="9:10">
      <c r="I790" s="78"/>
      <c r="J790" s="78"/>
    </row>
    <row r="791" spans="9:10">
      <c r="I791" s="78"/>
      <c r="J791" s="78"/>
    </row>
    <row r="792" spans="9:10">
      <c r="I792" s="78"/>
      <c r="J792" s="78"/>
    </row>
    <row r="793" spans="9:10">
      <c r="I793" s="78"/>
      <c r="J793" s="78"/>
    </row>
    <row r="794" spans="9:10">
      <c r="I794" s="78"/>
      <c r="J794" s="78"/>
    </row>
    <row r="795" spans="9:10">
      <c r="I795" s="78"/>
      <c r="J795" s="78"/>
    </row>
    <row r="796" spans="9:10">
      <c r="I796" s="78"/>
      <c r="J796" s="78"/>
    </row>
    <row r="797" spans="9:10">
      <c r="I797" s="78"/>
      <c r="J797" s="78"/>
    </row>
    <row r="798" spans="9:10">
      <c r="I798" s="78"/>
      <c r="J798" s="78"/>
    </row>
    <row r="799" spans="9:10">
      <c r="I799" s="78"/>
      <c r="J799" s="78"/>
    </row>
    <row r="800" spans="9:10">
      <c r="I800" s="78"/>
      <c r="J800" s="78"/>
    </row>
    <row r="801" spans="9:10">
      <c r="I801" s="78"/>
      <c r="J801" s="78"/>
    </row>
    <row r="802" spans="9:10">
      <c r="I802" s="78"/>
      <c r="J802" s="78"/>
    </row>
    <row r="803" spans="9:10">
      <c r="I803" s="78"/>
      <c r="J803" s="78"/>
    </row>
    <row r="804" spans="9:10">
      <c r="I804" s="78"/>
      <c r="J804" s="78"/>
    </row>
    <row r="805" spans="9:10">
      <c r="I805" s="78"/>
      <c r="J805" s="78"/>
    </row>
    <row r="806" spans="9:10">
      <c r="I806" s="78"/>
      <c r="J806" s="78"/>
    </row>
    <row r="807" spans="9:10">
      <c r="I807" s="78"/>
      <c r="J807" s="78"/>
    </row>
    <row r="808" spans="9:10">
      <c r="I808" s="78"/>
      <c r="J808" s="78"/>
    </row>
    <row r="809" spans="9:10">
      <c r="I809" s="78"/>
      <c r="J809" s="78"/>
    </row>
    <row r="810" spans="9:10">
      <c r="I810" s="78"/>
      <c r="J810" s="78"/>
    </row>
    <row r="811" spans="9:10">
      <c r="I811" s="78"/>
      <c r="J811" s="78"/>
    </row>
    <row r="812" spans="9:10">
      <c r="I812" s="78"/>
      <c r="J812" s="78"/>
    </row>
    <row r="813" spans="9:10">
      <c r="I813" s="78"/>
      <c r="J813" s="78"/>
    </row>
    <row r="814" spans="9:10">
      <c r="I814" s="78"/>
      <c r="J814" s="78"/>
    </row>
    <row r="815" spans="9:10">
      <c r="I815" s="78"/>
      <c r="J815" s="78"/>
    </row>
    <row r="816" spans="9:10">
      <c r="I816" s="78"/>
      <c r="J816" s="78"/>
    </row>
    <row r="817" spans="9:10">
      <c r="I817" s="78"/>
      <c r="J817" s="78"/>
    </row>
    <row r="818" spans="9:10">
      <c r="I818" s="78"/>
      <c r="J818" s="78"/>
    </row>
    <row r="819" spans="9:10">
      <c r="I819" s="78"/>
      <c r="J819" s="78"/>
    </row>
    <row r="820" spans="9:10">
      <c r="I820" s="78"/>
      <c r="J820" s="78"/>
    </row>
    <row r="821" spans="9:10">
      <c r="I821" s="78"/>
      <c r="J821" s="78"/>
    </row>
    <row r="822" spans="9:10">
      <c r="I822" s="78"/>
      <c r="J822" s="78"/>
    </row>
    <row r="823" spans="9:10">
      <c r="I823" s="78"/>
      <c r="J823" s="78"/>
    </row>
    <row r="824" spans="9:10">
      <c r="I824" s="78"/>
      <c r="J824" s="78"/>
    </row>
    <row r="825" spans="9:10">
      <c r="I825" s="78"/>
      <c r="J825" s="78"/>
    </row>
    <row r="826" spans="9:10">
      <c r="I826" s="78"/>
      <c r="J826" s="78"/>
    </row>
    <row r="827" spans="9:10">
      <c r="I827" s="78"/>
      <c r="J827" s="78"/>
    </row>
    <row r="828" spans="9:10">
      <c r="I828" s="78"/>
      <c r="J828" s="78"/>
    </row>
    <row r="829" spans="9:10">
      <c r="I829" s="78"/>
      <c r="J829" s="78"/>
    </row>
    <row r="830" spans="9:10">
      <c r="I830" s="78"/>
      <c r="J830" s="78"/>
    </row>
    <row r="831" spans="9:10">
      <c r="I831" s="78"/>
      <c r="J831" s="78"/>
    </row>
    <row r="832" spans="9:10">
      <c r="I832" s="78"/>
      <c r="J832" s="78"/>
    </row>
    <row r="833" spans="9:10">
      <c r="I833" s="78"/>
      <c r="J833" s="78"/>
    </row>
    <row r="834" spans="9:10">
      <c r="I834" s="78"/>
      <c r="J834" s="78"/>
    </row>
    <row r="835" spans="9:10">
      <c r="I835" s="78"/>
      <c r="J835" s="78"/>
    </row>
    <row r="836" spans="9:10">
      <c r="I836" s="78"/>
      <c r="J836" s="78"/>
    </row>
    <row r="837" spans="9:10">
      <c r="I837" s="78"/>
      <c r="J837" s="78"/>
    </row>
    <row r="838" spans="9:10">
      <c r="I838" s="78"/>
      <c r="J838" s="78"/>
    </row>
    <row r="839" spans="9:10">
      <c r="I839" s="78"/>
      <c r="J839" s="78"/>
    </row>
    <row r="840" spans="9:10">
      <c r="I840" s="78"/>
      <c r="J840" s="78"/>
    </row>
    <row r="841" spans="9:10">
      <c r="I841" s="78"/>
      <c r="J841" s="78"/>
    </row>
    <row r="842" spans="9:10">
      <c r="I842" s="78"/>
      <c r="J842" s="78"/>
    </row>
    <row r="843" spans="9:10">
      <c r="I843" s="78"/>
      <c r="J843" s="78"/>
    </row>
    <row r="844" spans="9:10">
      <c r="I844" s="78"/>
      <c r="J844" s="78"/>
    </row>
    <row r="845" spans="9:10">
      <c r="I845" s="78"/>
      <c r="J845" s="78"/>
    </row>
    <row r="846" spans="9:10">
      <c r="I846" s="78"/>
      <c r="J846" s="78"/>
    </row>
    <row r="847" spans="9:10">
      <c r="I847" s="78"/>
      <c r="J847" s="78"/>
    </row>
    <row r="848" spans="9:10">
      <c r="I848" s="78"/>
      <c r="J848" s="78"/>
    </row>
    <row r="849" spans="9:10">
      <c r="I849" s="78"/>
      <c r="J849" s="78"/>
    </row>
    <row r="850" spans="9:10">
      <c r="I850" s="78"/>
      <c r="J850" s="78"/>
    </row>
    <row r="851" spans="9:10">
      <c r="I851" s="78"/>
      <c r="J851" s="78"/>
    </row>
    <row r="852" spans="9:10">
      <c r="I852" s="78"/>
      <c r="J852" s="78"/>
    </row>
    <row r="853" spans="9:10">
      <c r="I853" s="78"/>
      <c r="J853" s="78"/>
    </row>
    <row r="854" spans="9:10">
      <c r="I854" s="78"/>
      <c r="J854" s="78"/>
    </row>
    <row r="855" spans="9:10">
      <c r="I855" s="78"/>
      <c r="J855" s="78"/>
    </row>
    <row r="856" spans="9:10">
      <c r="I856" s="78"/>
      <c r="J856" s="78"/>
    </row>
    <row r="857" spans="9:10">
      <c r="I857" s="78"/>
      <c r="J857" s="78"/>
    </row>
    <row r="858" spans="9:10">
      <c r="I858" s="78"/>
      <c r="J858" s="78"/>
    </row>
    <row r="859" spans="9:10">
      <c r="I859" s="78"/>
      <c r="J859" s="78"/>
    </row>
    <row r="860" spans="9:10">
      <c r="I860" s="78"/>
      <c r="J860" s="78"/>
    </row>
    <row r="861" spans="9:10">
      <c r="I861" s="78"/>
      <c r="J861" s="78"/>
    </row>
    <row r="862" spans="9:10">
      <c r="I862" s="78"/>
      <c r="J862" s="78"/>
    </row>
    <row r="863" spans="9:10">
      <c r="I863" s="78"/>
      <c r="J863" s="78"/>
    </row>
    <row r="864" spans="9:10">
      <c r="I864" s="78"/>
      <c r="J864" s="78"/>
    </row>
    <row r="865" spans="9:10">
      <c r="I865" s="78"/>
      <c r="J865" s="78"/>
    </row>
    <row r="866" spans="9:10">
      <c r="I866" s="78"/>
      <c r="J866" s="78"/>
    </row>
    <row r="867" spans="9:10">
      <c r="I867" s="78"/>
      <c r="J867" s="78"/>
    </row>
    <row r="868" spans="9:10">
      <c r="I868" s="78"/>
      <c r="J868" s="78"/>
    </row>
    <row r="869" spans="9:10">
      <c r="I869" s="78"/>
      <c r="J869" s="78"/>
    </row>
    <row r="870" spans="9:10">
      <c r="I870" s="78"/>
      <c r="J870" s="78"/>
    </row>
    <row r="871" spans="9:10">
      <c r="I871" s="78"/>
      <c r="J871" s="78"/>
    </row>
    <row r="872" spans="9:10">
      <c r="I872" s="78"/>
      <c r="J872" s="78"/>
    </row>
    <row r="873" spans="9:10">
      <c r="I873" s="78"/>
      <c r="J873" s="78"/>
    </row>
    <row r="874" spans="9:10">
      <c r="I874" s="78"/>
      <c r="J874" s="78"/>
    </row>
    <row r="875" spans="9:10">
      <c r="I875" s="78"/>
      <c r="J875" s="78"/>
    </row>
    <row r="876" spans="9:10">
      <c r="I876" s="78"/>
      <c r="J876" s="78"/>
    </row>
    <row r="877" spans="9:10">
      <c r="I877" s="78"/>
      <c r="J877" s="78"/>
    </row>
    <row r="878" spans="9:10">
      <c r="I878" s="78"/>
      <c r="J878" s="78"/>
    </row>
    <row r="879" spans="9:10">
      <c r="I879" s="78"/>
      <c r="J879" s="78"/>
    </row>
    <row r="880" spans="9:10">
      <c r="I880" s="78"/>
      <c r="J880" s="78"/>
    </row>
    <row r="881" spans="9:10">
      <c r="I881" s="78"/>
      <c r="J881" s="78"/>
    </row>
    <row r="882" spans="9:10">
      <c r="I882" s="78"/>
      <c r="J882" s="78"/>
    </row>
    <row r="883" spans="9:10">
      <c r="I883" s="78"/>
      <c r="J883" s="78"/>
    </row>
    <row r="884" spans="9:10">
      <c r="I884" s="78"/>
      <c r="J884" s="78"/>
    </row>
    <row r="885" spans="9:10">
      <c r="I885" s="78"/>
      <c r="J885" s="78"/>
    </row>
    <row r="886" spans="9:10">
      <c r="I886" s="78"/>
      <c r="J886" s="78"/>
    </row>
    <row r="887" spans="9:10">
      <c r="I887" s="78"/>
      <c r="J887" s="78"/>
    </row>
    <row r="888" spans="9:10">
      <c r="I888" s="78"/>
      <c r="J888" s="78"/>
    </row>
    <row r="889" spans="9:10">
      <c r="I889" s="78"/>
      <c r="J889" s="78"/>
    </row>
    <row r="890" spans="9:10">
      <c r="I890" s="78"/>
      <c r="J890" s="78"/>
    </row>
    <row r="891" spans="9:10">
      <c r="I891" s="78"/>
      <c r="J891" s="78"/>
    </row>
    <row r="892" spans="9:10">
      <c r="I892" s="78"/>
      <c r="J892" s="78"/>
    </row>
    <row r="893" spans="9:10">
      <c r="I893" s="78"/>
      <c r="J893" s="78"/>
    </row>
    <row r="894" spans="9:10">
      <c r="I894" s="78"/>
      <c r="J894" s="78"/>
    </row>
    <row r="895" spans="9:10">
      <c r="I895" s="78"/>
      <c r="J895" s="78"/>
    </row>
    <row r="896" spans="9:10">
      <c r="I896" s="78"/>
      <c r="J896" s="78"/>
    </row>
    <row r="897" spans="9:10">
      <c r="I897" s="78"/>
      <c r="J897" s="78"/>
    </row>
    <row r="898" spans="9:10">
      <c r="I898" s="78"/>
      <c r="J898" s="78"/>
    </row>
    <row r="899" spans="9:10">
      <c r="I899" s="78"/>
      <c r="J899" s="78"/>
    </row>
    <row r="900" spans="9:10">
      <c r="I900" s="78"/>
      <c r="J900" s="78"/>
    </row>
    <row r="901" spans="9:10">
      <c r="I901" s="78"/>
      <c r="J901" s="78"/>
    </row>
    <row r="902" spans="9:10">
      <c r="I902" s="78"/>
      <c r="J902" s="78"/>
    </row>
    <row r="903" spans="9:10">
      <c r="I903" s="78"/>
      <c r="J903" s="78"/>
    </row>
    <row r="904" spans="9:10">
      <c r="I904" s="78"/>
      <c r="J904" s="78"/>
    </row>
    <row r="905" spans="9:10">
      <c r="I905" s="78"/>
      <c r="J905" s="78"/>
    </row>
    <row r="906" spans="9:10">
      <c r="I906" s="78"/>
      <c r="J906" s="78"/>
    </row>
    <row r="907" spans="9:10">
      <c r="I907" s="78"/>
      <c r="J907" s="78"/>
    </row>
    <row r="908" spans="9:10">
      <c r="I908" s="78"/>
      <c r="J908" s="78"/>
    </row>
    <row r="909" spans="9:10">
      <c r="I909" s="78"/>
      <c r="J909" s="78"/>
    </row>
    <row r="910" spans="9:10">
      <c r="I910" s="78"/>
      <c r="J910" s="78"/>
    </row>
    <row r="911" spans="9:10">
      <c r="I911" s="78"/>
      <c r="J911" s="78"/>
    </row>
    <row r="912" spans="9:10">
      <c r="I912" s="78"/>
      <c r="J912" s="78"/>
    </row>
    <row r="913" spans="9:10">
      <c r="I913" s="78"/>
      <c r="J913" s="78"/>
    </row>
    <row r="914" spans="9:10">
      <c r="I914" s="78"/>
      <c r="J914" s="78"/>
    </row>
    <row r="915" spans="9:10">
      <c r="I915" s="78"/>
      <c r="J915" s="78"/>
    </row>
    <row r="916" spans="9:10">
      <c r="I916" s="78"/>
      <c r="J916" s="78"/>
    </row>
    <row r="917" spans="9:10">
      <c r="I917" s="78"/>
      <c r="J917" s="78"/>
    </row>
    <row r="918" spans="9:10">
      <c r="I918" s="78"/>
      <c r="J918" s="78"/>
    </row>
    <row r="919" spans="9:10">
      <c r="I919" s="78"/>
      <c r="J919" s="78"/>
    </row>
    <row r="920" spans="9:10">
      <c r="I920" s="78"/>
      <c r="J920" s="78"/>
    </row>
    <row r="921" spans="9:10">
      <c r="I921" s="78"/>
      <c r="J921" s="78"/>
    </row>
    <row r="922" spans="9:10">
      <c r="I922" s="78"/>
      <c r="J922" s="78"/>
    </row>
    <row r="923" spans="9:10">
      <c r="I923" s="78"/>
      <c r="J923" s="78"/>
    </row>
    <row r="924" spans="9:10">
      <c r="I924" s="78"/>
      <c r="J924" s="78"/>
    </row>
    <row r="925" spans="9:10">
      <c r="I925" s="78"/>
      <c r="J925" s="78"/>
    </row>
    <row r="926" spans="9:10">
      <c r="I926" s="78"/>
      <c r="J926" s="78"/>
    </row>
    <row r="927" spans="9:10">
      <c r="I927" s="78"/>
      <c r="J927" s="78"/>
    </row>
    <row r="928" spans="9:10">
      <c r="I928" s="78"/>
      <c r="J928" s="78"/>
    </row>
    <row r="929" spans="9:10">
      <c r="I929" s="78"/>
      <c r="J929" s="78"/>
    </row>
    <row r="930" spans="9:10">
      <c r="I930" s="78"/>
      <c r="J930" s="78"/>
    </row>
    <row r="931" spans="9:10">
      <c r="I931" s="78"/>
      <c r="J931" s="78"/>
    </row>
    <row r="932" spans="9:10">
      <c r="I932" s="78"/>
      <c r="J932" s="78"/>
    </row>
    <row r="933" spans="9:10">
      <c r="I933" s="78"/>
      <c r="J933" s="78"/>
    </row>
    <row r="934" spans="9:10">
      <c r="I934" s="78"/>
      <c r="J934" s="78"/>
    </row>
    <row r="935" spans="9:10">
      <c r="I935" s="78"/>
      <c r="J935" s="78"/>
    </row>
    <row r="936" spans="9:10">
      <c r="I936" s="78"/>
      <c r="J936" s="78"/>
    </row>
    <row r="937" spans="9:10">
      <c r="I937" s="78"/>
      <c r="J937" s="78"/>
    </row>
    <row r="938" spans="9:10">
      <c r="I938" s="78"/>
      <c r="J938" s="78"/>
    </row>
    <row r="939" spans="9:10">
      <c r="I939" s="78"/>
      <c r="J939" s="78"/>
    </row>
    <row r="940" spans="9:10">
      <c r="I940" s="78"/>
      <c r="J940" s="78"/>
    </row>
    <row r="941" spans="9:10">
      <c r="I941" s="78"/>
      <c r="J941" s="78"/>
    </row>
    <row r="942" spans="9:10">
      <c r="I942" s="78"/>
      <c r="J942" s="78"/>
    </row>
    <row r="943" spans="9:10">
      <c r="I943" s="78"/>
      <c r="J943" s="78"/>
    </row>
    <row r="944" spans="9:10">
      <c r="I944" s="78"/>
      <c r="J944" s="78"/>
    </row>
    <row r="945" spans="9:10">
      <c r="I945" s="78"/>
      <c r="J945" s="78"/>
    </row>
    <row r="946" spans="9:10">
      <c r="I946" s="78"/>
      <c r="J946" s="78"/>
    </row>
    <row r="947" spans="9:10">
      <c r="I947" s="78"/>
      <c r="J947" s="78"/>
    </row>
    <row r="948" spans="9:10">
      <c r="I948" s="78"/>
      <c r="J948" s="78"/>
    </row>
    <row r="949" spans="9:10">
      <c r="I949" s="78"/>
      <c r="J949" s="78"/>
    </row>
    <row r="950" spans="9:10">
      <c r="I950" s="78"/>
      <c r="J950" s="78"/>
    </row>
    <row r="951" spans="9:10">
      <c r="I951" s="78"/>
      <c r="J951" s="78"/>
    </row>
    <row r="952" spans="9:10">
      <c r="I952" s="78"/>
      <c r="J952" s="78"/>
    </row>
    <row r="953" spans="9:10">
      <c r="I953" s="78"/>
      <c r="J953" s="78"/>
    </row>
    <row r="954" spans="9:10">
      <c r="I954" s="78"/>
      <c r="J954" s="78"/>
    </row>
    <row r="955" spans="9:10">
      <c r="I955" s="78"/>
      <c r="J955" s="78"/>
    </row>
    <row r="956" spans="9:10">
      <c r="I956" s="78"/>
      <c r="J956" s="78"/>
    </row>
    <row r="957" spans="9:10">
      <c r="I957" s="78"/>
      <c r="J957" s="78"/>
    </row>
    <row r="958" spans="9:10">
      <c r="I958" s="78"/>
      <c r="J958" s="78"/>
    </row>
    <row r="959" spans="9:10">
      <c r="I959" s="78"/>
      <c r="J959" s="78"/>
    </row>
    <row r="960" spans="9:10">
      <c r="I960" s="78"/>
      <c r="J960" s="78"/>
    </row>
    <row r="961" spans="9:10">
      <c r="I961" s="78"/>
      <c r="J961" s="78"/>
    </row>
    <row r="962" spans="9:10">
      <c r="I962" s="78"/>
      <c r="J962" s="78"/>
    </row>
    <row r="963" spans="9:10">
      <c r="I963" s="78"/>
      <c r="J963" s="78"/>
    </row>
    <row r="964" spans="9:10">
      <c r="I964" s="78"/>
      <c r="J964" s="78"/>
    </row>
    <row r="965" spans="9:10">
      <c r="I965" s="78"/>
      <c r="J965" s="78"/>
    </row>
    <row r="966" spans="9:10">
      <c r="I966" s="78"/>
      <c r="J966" s="78"/>
    </row>
    <row r="967" spans="9:10">
      <c r="I967" s="78"/>
      <c r="J967" s="78"/>
    </row>
    <row r="968" spans="9:10">
      <c r="I968" s="78"/>
      <c r="J968" s="78"/>
    </row>
    <row r="969" spans="9:10">
      <c r="I969" s="78"/>
      <c r="J969" s="78"/>
    </row>
    <row r="970" spans="9:10">
      <c r="I970" s="78"/>
      <c r="J970" s="78"/>
    </row>
    <row r="971" spans="9:10">
      <c r="I971" s="78"/>
      <c r="J971" s="78"/>
    </row>
    <row r="972" spans="9:10">
      <c r="I972" s="78"/>
      <c r="J972" s="78"/>
    </row>
    <row r="973" spans="9:10">
      <c r="I973" s="78"/>
      <c r="J973" s="78"/>
    </row>
    <row r="974" spans="9:10">
      <c r="I974" s="78"/>
      <c r="J974" s="78"/>
    </row>
    <row r="975" spans="9:10">
      <c r="I975" s="78"/>
      <c r="J975" s="78"/>
    </row>
    <row r="976" spans="9:10">
      <c r="I976" s="78"/>
      <c r="J976" s="78"/>
    </row>
    <row r="977" spans="9:10">
      <c r="I977" s="78"/>
      <c r="J977" s="78"/>
    </row>
    <row r="978" spans="9:10">
      <c r="I978" s="78"/>
      <c r="J978" s="78"/>
    </row>
    <row r="979" spans="9:10">
      <c r="I979" s="78"/>
      <c r="J979" s="78"/>
    </row>
    <row r="980" spans="9:10">
      <c r="I980" s="78"/>
      <c r="J980" s="78"/>
    </row>
    <row r="981" spans="9:10">
      <c r="I981" s="78"/>
      <c r="J981" s="78"/>
    </row>
    <row r="982" spans="9:10">
      <c r="I982" s="78"/>
      <c r="J982" s="78"/>
    </row>
    <row r="983" spans="9:10">
      <c r="I983" s="78"/>
      <c r="J983" s="78"/>
    </row>
    <row r="984" spans="9:10">
      <c r="I984" s="78"/>
      <c r="J984" s="78"/>
    </row>
    <row r="985" spans="9:10">
      <c r="I985" s="78"/>
      <c r="J985" s="78"/>
    </row>
    <row r="986" spans="9:10">
      <c r="I986" s="78"/>
      <c r="J986" s="78"/>
    </row>
    <row r="987" spans="9:10">
      <c r="I987" s="78"/>
      <c r="J987" s="78"/>
    </row>
    <row r="988" spans="9:10">
      <c r="I988" s="78"/>
      <c r="J988" s="78"/>
    </row>
    <row r="989" spans="9:10">
      <c r="I989" s="78"/>
      <c r="J989" s="78"/>
    </row>
    <row r="990" spans="9:10">
      <c r="I990" s="78"/>
      <c r="J990" s="78"/>
    </row>
    <row r="991" spans="9:10">
      <c r="I991" s="78"/>
      <c r="J991" s="78"/>
    </row>
    <row r="992" spans="9:10">
      <c r="I992" s="78"/>
      <c r="J992" s="78"/>
    </row>
    <row r="993" spans="9:10">
      <c r="I993" s="78"/>
      <c r="J993" s="78"/>
    </row>
    <row r="994" spans="9:10">
      <c r="I994" s="78"/>
      <c r="J994" s="78"/>
    </row>
    <row r="995" spans="9:10">
      <c r="I995" s="78"/>
      <c r="J995" s="78"/>
    </row>
    <row r="996" spans="9:10">
      <c r="I996" s="78"/>
      <c r="J996" s="78"/>
    </row>
    <row r="997" spans="9:10">
      <c r="I997" s="78"/>
      <c r="J997" s="78"/>
    </row>
    <row r="998" spans="9:10">
      <c r="I998" s="78"/>
      <c r="J998" s="78"/>
    </row>
    <row r="999" spans="9:10">
      <c r="I999" s="78"/>
      <c r="J999" s="78"/>
    </row>
    <row r="1000" spans="9:10">
      <c r="I1000" s="78"/>
      <c r="J1000" s="78"/>
    </row>
  </sheetData>
  <autoFilter ref="A4:T36" xr:uid="{00000000-0009-0000-0000-000002000000}"/>
  <mergeCells count="10">
    <mergeCell ref="T3:U3"/>
    <mergeCell ref="Q3:S3"/>
    <mergeCell ref="A36:F36"/>
    <mergeCell ref="A2:G2"/>
    <mergeCell ref="A3:G3"/>
    <mergeCell ref="A1:H1"/>
    <mergeCell ref="I3:J3"/>
    <mergeCell ref="K3:L3"/>
    <mergeCell ref="M3:N3"/>
    <mergeCell ref="O3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1000"/>
  <sheetViews>
    <sheetView topLeftCell="L1" workbookViewId="0">
      <selection activeCell="W5" sqref="W5"/>
    </sheetView>
  </sheetViews>
  <sheetFormatPr defaultColWidth="14.44140625" defaultRowHeight="14.4"/>
  <cols>
    <col min="2" max="2" width="16.5546875" bestFit="1" customWidth="1"/>
    <col min="3" max="3" width="25" bestFit="1" customWidth="1"/>
    <col min="4" max="7" width="14.44140625" customWidth="1"/>
    <col min="8" max="8" width="0.109375" customWidth="1"/>
    <col min="11" max="16" width="14.44140625" style="46"/>
    <col min="21" max="21" width="14.44140625" style="49"/>
    <col min="23" max="106" width="14.44140625" style="37"/>
  </cols>
  <sheetData>
    <row r="1" spans="1:106" ht="15" customHeight="1">
      <c r="A1" s="87" t="s">
        <v>0</v>
      </c>
      <c r="B1" s="88"/>
      <c r="C1" s="88"/>
      <c r="D1" s="88"/>
      <c r="E1" s="88"/>
      <c r="F1" s="88"/>
      <c r="G1" s="88"/>
      <c r="H1" s="88"/>
      <c r="I1" s="1"/>
      <c r="J1" s="1"/>
      <c r="K1" s="2"/>
      <c r="L1" s="2"/>
      <c r="M1" s="2"/>
      <c r="N1" s="2"/>
      <c r="O1" s="2"/>
      <c r="P1" s="2"/>
      <c r="Q1" s="1"/>
      <c r="R1" s="1"/>
      <c r="S1" s="1"/>
      <c r="T1" s="3"/>
      <c r="U1" s="47"/>
      <c r="V1" s="3"/>
      <c r="W1" s="35"/>
      <c r="X1" s="35"/>
      <c r="Y1" s="35"/>
      <c r="Z1" s="35"/>
    </row>
    <row r="2" spans="1:106" ht="15.6">
      <c r="A2" s="89" t="s">
        <v>89</v>
      </c>
      <c r="B2" s="90"/>
      <c r="C2" s="91"/>
      <c r="D2" s="4"/>
      <c r="E2" s="4"/>
      <c r="F2" s="4"/>
      <c r="G2" s="4"/>
      <c r="H2" s="5"/>
      <c r="I2" s="6"/>
      <c r="J2" s="6"/>
      <c r="K2" s="7"/>
      <c r="L2" s="7"/>
      <c r="M2" s="7"/>
      <c r="N2" s="7"/>
      <c r="O2" s="7"/>
      <c r="P2" s="7"/>
      <c r="Q2" s="6"/>
      <c r="R2" s="6"/>
      <c r="S2" s="6"/>
      <c r="T2" s="3"/>
      <c r="U2" s="47"/>
      <c r="V2" s="3"/>
      <c r="W2" s="35"/>
      <c r="X2" s="35"/>
      <c r="Y2" s="35"/>
      <c r="Z2" s="35"/>
    </row>
    <row r="3" spans="1:106" ht="15.6">
      <c r="A3" s="92" t="s">
        <v>90</v>
      </c>
      <c r="B3" s="93"/>
      <c r="C3" s="94"/>
      <c r="D3" s="4"/>
      <c r="E3" s="4"/>
      <c r="F3" s="4"/>
      <c r="G3" s="4"/>
      <c r="H3" s="5"/>
      <c r="I3" s="81" t="s">
        <v>3</v>
      </c>
      <c r="J3" s="83"/>
      <c r="K3" s="79" t="s">
        <v>4</v>
      </c>
      <c r="L3" s="80"/>
      <c r="M3" s="79" t="s">
        <v>5</v>
      </c>
      <c r="N3" s="80"/>
      <c r="O3" s="79" t="s">
        <v>6</v>
      </c>
      <c r="P3" s="80"/>
      <c r="Q3" s="81" t="s">
        <v>7</v>
      </c>
      <c r="R3" s="82"/>
      <c r="S3" s="83"/>
      <c r="T3" s="81" t="s">
        <v>8</v>
      </c>
      <c r="U3" s="82"/>
      <c r="V3" s="83"/>
      <c r="W3" s="35"/>
      <c r="X3" s="35"/>
      <c r="Y3" s="35"/>
      <c r="Z3" s="35"/>
    </row>
    <row r="4" spans="1:106" s="14" customFormat="1" ht="15.6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9" t="s">
        <v>15</v>
      </c>
      <c r="H4" s="10"/>
      <c r="I4" s="51" t="s">
        <v>16</v>
      </c>
      <c r="J4" s="51" t="s">
        <v>17</v>
      </c>
      <c r="K4" s="52" t="s">
        <v>16</v>
      </c>
      <c r="L4" s="52" t="s">
        <v>17</v>
      </c>
      <c r="M4" s="52" t="s">
        <v>16</v>
      </c>
      <c r="N4" s="52" t="s">
        <v>17</v>
      </c>
      <c r="O4" s="52" t="s">
        <v>16</v>
      </c>
      <c r="P4" s="52" t="s">
        <v>17</v>
      </c>
      <c r="Q4" s="51" t="s">
        <v>16</v>
      </c>
      <c r="R4" s="51" t="s">
        <v>18</v>
      </c>
      <c r="S4" s="11" t="s">
        <v>17</v>
      </c>
      <c r="T4" s="12" t="s">
        <v>16</v>
      </c>
      <c r="U4" s="48" t="s">
        <v>18</v>
      </c>
      <c r="V4" s="11" t="s">
        <v>17</v>
      </c>
      <c r="W4" s="76"/>
      <c r="X4" s="76"/>
      <c r="Y4" s="76"/>
      <c r="Z4" s="76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R4" s="77"/>
      <c r="CS4" s="77"/>
      <c r="CT4" s="77"/>
      <c r="CU4" s="77"/>
      <c r="CV4" s="77"/>
      <c r="CW4" s="77"/>
      <c r="CX4" s="77"/>
      <c r="CY4" s="77"/>
      <c r="CZ4" s="77"/>
      <c r="DA4" s="77"/>
      <c r="DB4" s="77"/>
    </row>
    <row r="5" spans="1:106" ht="15" customHeight="1">
      <c r="A5" s="15">
        <v>1</v>
      </c>
      <c r="B5" s="16" t="s">
        <v>19</v>
      </c>
      <c r="C5" s="16" t="s">
        <v>20</v>
      </c>
      <c r="D5" s="17" t="s">
        <v>84</v>
      </c>
      <c r="E5" s="18">
        <v>12</v>
      </c>
      <c r="F5" s="18">
        <v>680</v>
      </c>
      <c r="G5" s="19">
        <v>57980</v>
      </c>
      <c r="H5" s="20"/>
      <c r="I5" s="55">
        <v>1235</v>
      </c>
      <c r="J5" s="55">
        <v>13</v>
      </c>
      <c r="K5" s="55">
        <v>1900</v>
      </c>
      <c r="L5" s="55">
        <v>20</v>
      </c>
      <c r="M5" s="55">
        <v>950</v>
      </c>
      <c r="N5" s="55">
        <v>10</v>
      </c>
      <c r="O5" s="55">
        <v>0</v>
      </c>
      <c r="P5" s="55">
        <v>0</v>
      </c>
      <c r="Q5" s="55">
        <f>I5+K5+M5+O5</f>
        <v>4085</v>
      </c>
      <c r="R5" s="56">
        <f>Q5-Q5*12/112</f>
        <v>3647.3214285714284</v>
      </c>
      <c r="S5" s="50">
        <f>J5+L5+N5+P5</f>
        <v>43</v>
      </c>
      <c r="T5" s="21">
        <v>335065</v>
      </c>
      <c r="U5" s="22">
        <v>283530.42857142858</v>
      </c>
      <c r="V5" s="23">
        <f>J5+L5+N5+P5</f>
        <v>43</v>
      </c>
      <c r="W5" s="36"/>
      <c r="X5" s="35"/>
      <c r="Y5" s="35"/>
      <c r="Z5" s="35"/>
    </row>
    <row r="6" spans="1:106" ht="15" customHeight="1">
      <c r="A6" s="15">
        <v>2</v>
      </c>
      <c r="B6" s="16" t="s">
        <v>22</v>
      </c>
      <c r="C6" s="16" t="s">
        <v>23</v>
      </c>
      <c r="D6" s="17" t="s">
        <v>84</v>
      </c>
      <c r="E6" s="18">
        <v>12</v>
      </c>
      <c r="F6" s="18">
        <v>428</v>
      </c>
      <c r="G6" s="19">
        <v>57840</v>
      </c>
      <c r="H6" s="20"/>
      <c r="I6" s="55">
        <v>1200</v>
      </c>
      <c r="J6" s="55">
        <v>13</v>
      </c>
      <c r="K6" s="55">
        <v>900</v>
      </c>
      <c r="L6" s="55">
        <v>9</v>
      </c>
      <c r="M6" s="55">
        <v>1200</v>
      </c>
      <c r="N6" s="55">
        <v>12</v>
      </c>
      <c r="O6" s="55">
        <v>0</v>
      </c>
      <c r="P6" s="55">
        <v>0</v>
      </c>
      <c r="Q6" s="55">
        <f t="shared" ref="Q6:Q18" si="0">I6+K6+M6+O6</f>
        <v>3300</v>
      </c>
      <c r="R6" s="56">
        <f t="shared" ref="R6:R18" si="1">Q6-Q6*12/112</f>
        <v>2946.4285714285716</v>
      </c>
      <c r="S6" s="50">
        <f t="shared" ref="S6:S18" si="2">J6+L6+N6+P6</f>
        <v>34</v>
      </c>
      <c r="T6" s="21">
        <v>265755</v>
      </c>
      <c r="U6" s="22">
        <v>223219.21428571429</v>
      </c>
      <c r="V6" s="23">
        <f>J6+L6+N6+P6</f>
        <v>34</v>
      </c>
      <c r="W6" s="35"/>
      <c r="X6" s="35"/>
      <c r="Y6" s="35"/>
      <c r="Z6" s="35"/>
    </row>
    <row r="7" spans="1:106" ht="15" customHeight="1">
      <c r="A7" s="15">
        <v>3</v>
      </c>
      <c r="B7" s="24" t="s">
        <v>24</v>
      </c>
      <c r="C7" s="16" t="s">
        <v>25</v>
      </c>
      <c r="D7" s="17" t="s">
        <v>84</v>
      </c>
      <c r="E7" s="18">
        <v>12</v>
      </c>
      <c r="F7" s="18">
        <v>452</v>
      </c>
      <c r="G7" s="19">
        <v>45200</v>
      </c>
      <c r="H7" s="20"/>
      <c r="I7" s="55">
        <v>855</v>
      </c>
      <c r="J7" s="55">
        <v>9</v>
      </c>
      <c r="K7" s="55">
        <v>475</v>
      </c>
      <c r="L7" s="55">
        <v>5</v>
      </c>
      <c r="M7" s="55">
        <v>570</v>
      </c>
      <c r="N7" s="55">
        <v>6</v>
      </c>
      <c r="O7" s="55">
        <v>0</v>
      </c>
      <c r="P7" s="55">
        <v>0</v>
      </c>
      <c r="Q7" s="55">
        <f t="shared" si="0"/>
        <v>1900</v>
      </c>
      <c r="R7" s="56">
        <f t="shared" si="1"/>
        <v>1696.4285714285713</v>
      </c>
      <c r="S7" s="50">
        <f t="shared" si="2"/>
        <v>20</v>
      </c>
      <c r="T7" s="21">
        <v>145870</v>
      </c>
      <c r="U7" s="22">
        <v>120493.64285714286</v>
      </c>
      <c r="V7" s="23">
        <f>J7+L7+N7+P7</f>
        <v>20</v>
      </c>
      <c r="W7" s="35"/>
      <c r="X7" s="35"/>
      <c r="Y7" s="35"/>
      <c r="Z7" s="35"/>
    </row>
    <row r="8" spans="1:106" ht="15" customHeight="1">
      <c r="A8" s="15">
        <v>4</v>
      </c>
      <c r="B8" s="24" t="s">
        <v>26</v>
      </c>
      <c r="C8" s="16" t="s">
        <v>27</v>
      </c>
      <c r="D8" s="17" t="s">
        <v>37</v>
      </c>
      <c r="E8" s="16">
        <v>5</v>
      </c>
      <c r="F8" s="18">
        <v>764</v>
      </c>
      <c r="G8" s="19">
        <v>94330</v>
      </c>
      <c r="H8" s="20"/>
      <c r="I8" s="55">
        <v>3450</v>
      </c>
      <c r="J8" s="55">
        <v>40</v>
      </c>
      <c r="K8" s="55">
        <v>10845</v>
      </c>
      <c r="L8" s="55">
        <v>91</v>
      </c>
      <c r="M8" s="55">
        <v>2880</v>
      </c>
      <c r="N8" s="55">
        <v>24</v>
      </c>
      <c r="O8" s="55">
        <v>2700</v>
      </c>
      <c r="P8" s="55">
        <v>20</v>
      </c>
      <c r="Q8" s="55">
        <f t="shared" si="0"/>
        <v>19875</v>
      </c>
      <c r="R8" s="56">
        <f t="shared" si="1"/>
        <v>17745.535714285714</v>
      </c>
      <c r="S8" s="50">
        <f t="shared" si="2"/>
        <v>175</v>
      </c>
      <c r="T8" s="21">
        <v>366265</v>
      </c>
      <c r="U8" s="22">
        <v>312939.10714285716</v>
      </c>
      <c r="V8" s="23">
        <f>J8+L8+N8+P8</f>
        <v>175</v>
      </c>
      <c r="W8" s="35"/>
      <c r="X8" s="35"/>
      <c r="Y8" s="35"/>
      <c r="Z8" s="35"/>
    </row>
    <row r="9" spans="1:106" ht="15" customHeight="1">
      <c r="A9" s="15">
        <v>5</v>
      </c>
      <c r="B9" s="24" t="s">
        <v>29</v>
      </c>
      <c r="C9" s="16" t="s">
        <v>30</v>
      </c>
      <c r="D9" s="17" t="s">
        <v>37</v>
      </c>
      <c r="E9" s="16">
        <v>5</v>
      </c>
      <c r="F9" s="18">
        <v>320</v>
      </c>
      <c r="G9" s="19">
        <v>46400</v>
      </c>
      <c r="H9" s="20"/>
      <c r="I9" s="55">
        <v>2185</v>
      </c>
      <c r="J9" s="55">
        <v>23</v>
      </c>
      <c r="K9" s="55">
        <v>1710</v>
      </c>
      <c r="L9" s="55">
        <v>18</v>
      </c>
      <c r="M9" s="55">
        <v>855</v>
      </c>
      <c r="N9" s="55">
        <v>9</v>
      </c>
      <c r="O9" s="55">
        <v>380</v>
      </c>
      <c r="P9" s="55">
        <v>4</v>
      </c>
      <c r="Q9" s="55">
        <f t="shared" si="0"/>
        <v>5130</v>
      </c>
      <c r="R9" s="56">
        <f t="shared" si="1"/>
        <v>4580.3571428571431</v>
      </c>
      <c r="S9" s="50">
        <f t="shared" si="2"/>
        <v>54</v>
      </c>
      <c r="T9" s="25">
        <v>108119</v>
      </c>
      <c r="U9" s="22">
        <v>98951.07142857142</v>
      </c>
      <c r="V9" s="23">
        <f>J9+L9+N9+P9</f>
        <v>54</v>
      </c>
      <c r="W9" s="35"/>
      <c r="X9" s="36"/>
      <c r="Y9" s="35"/>
      <c r="Z9" s="35"/>
    </row>
    <row r="10" spans="1:106" ht="15" customHeight="1">
      <c r="A10" s="15">
        <v>6</v>
      </c>
      <c r="B10" s="26" t="s">
        <v>31</v>
      </c>
      <c r="C10" s="16" t="s">
        <v>32</v>
      </c>
      <c r="D10" s="17" t="s">
        <v>37</v>
      </c>
      <c r="E10" s="16">
        <v>5</v>
      </c>
      <c r="F10" s="18">
        <v>410</v>
      </c>
      <c r="G10" s="19">
        <v>60270</v>
      </c>
      <c r="H10" s="20"/>
      <c r="I10" s="55">
        <v>1358</v>
      </c>
      <c r="J10" s="55">
        <v>14</v>
      </c>
      <c r="K10" s="55">
        <v>1843</v>
      </c>
      <c r="L10" s="55">
        <v>19</v>
      </c>
      <c r="M10" s="55">
        <v>1940</v>
      </c>
      <c r="N10" s="55">
        <v>20</v>
      </c>
      <c r="O10" s="55">
        <v>582</v>
      </c>
      <c r="P10" s="55">
        <v>6</v>
      </c>
      <c r="Q10" s="55">
        <f t="shared" si="0"/>
        <v>5723</v>
      </c>
      <c r="R10" s="56">
        <f t="shared" si="1"/>
        <v>5109.8214285714284</v>
      </c>
      <c r="S10" s="50">
        <f t="shared" si="2"/>
        <v>59</v>
      </c>
      <c r="T10" s="21">
        <v>101974</v>
      </c>
      <c r="U10" s="22">
        <v>85546.21428571429</v>
      </c>
      <c r="V10" s="23">
        <f>J10+L10+N10+P10</f>
        <v>59</v>
      </c>
      <c r="W10" s="35"/>
      <c r="X10" s="35"/>
      <c r="Y10" s="35"/>
      <c r="Z10" s="35"/>
    </row>
    <row r="11" spans="1:106" ht="15" customHeight="1">
      <c r="A11" s="15">
        <v>7</v>
      </c>
      <c r="B11" s="24" t="s">
        <v>34</v>
      </c>
      <c r="C11" s="16" t="s">
        <v>35</v>
      </c>
      <c r="D11" s="17" t="s">
        <v>37</v>
      </c>
      <c r="E11" s="16">
        <v>5</v>
      </c>
      <c r="F11" s="18">
        <v>414</v>
      </c>
      <c r="G11" s="19">
        <v>49630</v>
      </c>
      <c r="H11" s="20"/>
      <c r="I11" s="55">
        <v>2580</v>
      </c>
      <c r="J11" s="55">
        <v>28</v>
      </c>
      <c r="K11" s="55">
        <v>2580</v>
      </c>
      <c r="L11" s="55">
        <v>28</v>
      </c>
      <c r="M11" s="55">
        <v>1260</v>
      </c>
      <c r="N11" s="55">
        <v>12</v>
      </c>
      <c r="O11" s="55">
        <v>1050</v>
      </c>
      <c r="P11" s="55">
        <v>10</v>
      </c>
      <c r="Q11" s="55">
        <f t="shared" si="0"/>
        <v>7470</v>
      </c>
      <c r="R11" s="56">
        <f t="shared" si="1"/>
        <v>6669.6428571428569</v>
      </c>
      <c r="S11" s="50">
        <f t="shared" si="2"/>
        <v>78</v>
      </c>
      <c r="T11" s="21">
        <v>205240</v>
      </c>
      <c r="U11" s="22">
        <v>174476.14285714287</v>
      </c>
      <c r="V11" s="23">
        <f>J11+L11+N11+P11</f>
        <v>78</v>
      </c>
      <c r="W11" s="35"/>
      <c r="X11" s="35"/>
      <c r="Y11" s="35"/>
      <c r="Z11" s="35"/>
    </row>
    <row r="12" spans="1:106" ht="15" customHeight="1">
      <c r="A12" s="15">
        <v>8</v>
      </c>
      <c r="B12" s="24" t="s">
        <v>24</v>
      </c>
      <c r="C12" s="16" t="s">
        <v>36</v>
      </c>
      <c r="D12" s="17" t="s">
        <v>37</v>
      </c>
      <c r="E12" s="16">
        <v>5</v>
      </c>
      <c r="F12" s="18">
        <v>312</v>
      </c>
      <c r="G12" s="19">
        <v>45240</v>
      </c>
      <c r="H12" s="20"/>
      <c r="I12" s="55">
        <v>3325</v>
      </c>
      <c r="J12" s="55">
        <v>35</v>
      </c>
      <c r="K12" s="55">
        <v>1615</v>
      </c>
      <c r="L12" s="55">
        <v>17</v>
      </c>
      <c r="M12" s="55">
        <v>1045</v>
      </c>
      <c r="N12" s="55">
        <v>11</v>
      </c>
      <c r="O12" s="55">
        <v>950</v>
      </c>
      <c r="P12" s="55">
        <v>10</v>
      </c>
      <c r="Q12" s="55">
        <f t="shared" si="0"/>
        <v>6935</v>
      </c>
      <c r="R12" s="56">
        <f t="shared" si="1"/>
        <v>6191.9642857142853</v>
      </c>
      <c r="S12" s="50">
        <f t="shared" si="2"/>
        <v>73</v>
      </c>
      <c r="T12" s="21">
        <v>146015</v>
      </c>
      <c r="U12" s="22">
        <v>124532.28571428571</v>
      </c>
      <c r="V12" s="23">
        <f>J12+L12+N12+P12</f>
        <v>73</v>
      </c>
      <c r="W12" s="35"/>
      <c r="X12" s="35"/>
      <c r="Y12" s="35"/>
      <c r="Z12" s="35"/>
    </row>
    <row r="13" spans="1:106" ht="15" customHeight="1">
      <c r="A13" s="15">
        <v>9</v>
      </c>
      <c r="B13" s="24" t="s">
        <v>38</v>
      </c>
      <c r="C13" s="16" t="s">
        <v>39</v>
      </c>
      <c r="D13" s="17" t="s">
        <v>37</v>
      </c>
      <c r="E13" s="16">
        <v>5</v>
      </c>
      <c r="F13" s="18">
        <v>310</v>
      </c>
      <c r="G13" s="19">
        <v>44950</v>
      </c>
      <c r="H13" s="20"/>
      <c r="I13" s="55">
        <v>1450</v>
      </c>
      <c r="J13" s="55">
        <v>10</v>
      </c>
      <c r="K13" s="55">
        <v>3045</v>
      </c>
      <c r="L13" s="55">
        <v>21</v>
      </c>
      <c r="M13" s="55">
        <v>1740</v>
      </c>
      <c r="N13" s="55">
        <v>12</v>
      </c>
      <c r="O13" s="55">
        <v>0</v>
      </c>
      <c r="P13" s="55">
        <v>0</v>
      </c>
      <c r="Q13" s="55">
        <f t="shared" si="0"/>
        <v>6235</v>
      </c>
      <c r="R13" s="56">
        <f t="shared" si="1"/>
        <v>5566.9642857142853</v>
      </c>
      <c r="S13" s="50">
        <f t="shared" si="2"/>
        <v>43</v>
      </c>
      <c r="T13" s="25">
        <v>151815</v>
      </c>
      <c r="U13" s="22">
        <v>128150.10714285714</v>
      </c>
      <c r="V13" s="23">
        <f>J13+L13+N13+P13</f>
        <v>43</v>
      </c>
      <c r="W13" s="35"/>
      <c r="X13" s="36"/>
      <c r="Y13" s="35"/>
      <c r="Z13" s="35"/>
    </row>
    <row r="14" spans="1:106" s="37" customFormat="1" ht="15" customHeight="1">
      <c r="A14" s="27">
        <v>10</v>
      </c>
      <c r="B14" s="24" t="s">
        <v>40</v>
      </c>
      <c r="C14" s="28" t="s">
        <v>41</v>
      </c>
      <c r="D14" s="29" t="s">
        <v>37</v>
      </c>
      <c r="E14" s="28">
        <v>5</v>
      </c>
      <c r="F14" s="30">
        <v>458</v>
      </c>
      <c r="G14" s="31">
        <v>43510</v>
      </c>
      <c r="H14" s="32"/>
      <c r="I14" s="57">
        <v>1900</v>
      </c>
      <c r="J14" s="57">
        <v>20</v>
      </c>
      <c r="K14" s="57">
        <v>2185</v>
      </c>
      <c r="L14" s="57">
        <v>23</v>
      </c>
      <c r="M14" s="57">
        <v>1140</v>
      </c>
      <c r="N14" s="57">
        <v>12</v>
      </c>
      <c r="O14" s="57">
        <v>1045</v>
      </c>
      <c r="P14" s="57">
        <v>11</v>
      </c>
      <c r="Q14" s="55">
        <f t="shared" si="0"/>
        <v>6270</v>
      </c>
      <c r="R14" s="56">
        <f t="shared" si="1"/>
        <v>5598.2142857142853</v>
      </c>
      <c r="S14" s="50">
        <f t="shared" si="2"/>
        <v>66</v>
      </c>
      <c r="T14" s="33">
        <v>119652</v>
      </c>
      <c r="U14" s="34">
        <v>111998.57142857142</v>
      </c>
      <c r="V14" s="23">
        <f>J14+L14+N14+P14</f>
        <v>66</v>
      </c>
      <c r="W14" s="35"/>
      <c r="X14" s="36"/>
      <c r="Y14" s="35"/>
      <c r="Z14" s="35"/>
    </row>
    <row r="15" spans="1:106" s="74" customFormat="1" ht="15" customHeight="1">
      <c r="A15" s="62">
        <v>11</v>
      </c>
      <c r="B15" s="63" t="s">
        <v>42</v>
      </c>
      <c r="C15" s="64" t="s">
        <v>43</v>
      </c>
      <c r="D15" s="65" t="s">
        <v>37</v>
      </c>
      <c r="E15" s="64">
        <v>5</v>
      </c>
      <c r="F15" s="66">
        <v>580</v>
      </c>
      <c r="G15" s="67">
        <v>55100</v>
      </c>
      <c r="H15" s="20"/>
      <c r="I15" s="68">
        <v>0</v>
      </c>
      <c r="J15" s="68">
        <v>0</v>
      </c>
      <c r="K15" s="68">
        <v>2030</v>
      </c>
      <c r="L15" s="68">
        <v>14</v>
      </c>
      <c r="M15" s="68"/>
      <c r="N15" s="68"/>
      <c r="O15" s="68"/>
      <c r="P15" s="68"/>
      <c r="Q15" s="68">
        <f t="shared" si="0"/>
        <v>2030</v>
      </c>
      <c r="R15" s="69">
        <f t="shared" si="1"/>
        <v>1812.5</v>
      </c>
      <c r="S15" s="70">
        <f t="shared" si="2"/>
        <v>14</v>
      </c>
      <c r="T15" s="71">
        <v>23421</v>
      </c>
      <c r="U15" s="72">
        <v>22785.785714285714</v>
      </c>
      <c r="V15" s="73">
        <f>J15+L15+N15+P15</f>
        <v>14</v>
      </c>
      <c r="W15" s="35"/>
      <c r="X15" s="35"/>
      <c r="Y15" s="36"/>
      <c r="Z15" s="35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</row>
    <row r="16" spans="1:106" s="37" customFormat="1" ht="15" customHeight="1">
      <c r="A16" s="27">
        <v>12</v>
      </c>
      <c r="B16" s="24" t="s">
        <v>44</v>
      </c>
      <c r="C16" s="28" t="s">
        <v>45</v>
      </c>
      <c r="D16" s="29" t="s">
        <v>37</v>
      </c>
      <c r="E16" s="28">
        <v>5</v>
      </c>
      <c r="F16" s="30">
        <v>311</v>
      </c>
      <c r="G16" s="31">
        <v>29545</v>
      </c>
      <c r="H16" s="32"/>
      <c r="I16" s="57">
        <v>1100</v>
      </c>
      <c r="J16" s="57">
        <v>11</v>
      </c>
      <c r="K16" s="57">
        <v>1400</v>
      </c>
      <c r="L16" s="57">
        <v>14</v>
      </c>
      <c r="M16" s="57">
        <v>2000</v>
      </c>
      <c r="N16" s="57">
        <v>20</v>
      </c>
      <c r="O16" s="57">
        <v>1600</v>
      </c>
      <c r="P16" s="57">
        <v>16</v>
      </c>
      <c r="Q16" s="55">
        <f>I16+K16+M16+O16</f>
        <v>6100</v>
      </c>
      <c r="R16" s="56">
        <f t="shared" si="1"/>
        <v>5446.4285714285716</v>
      </c>
      <c r="S16" s="50">
        <f>J16+L16+N16+P16</f>
        <v>61</v>
      </c>
      <c r="T16" s="38">
        <v>132741</v>
      </c>
      <c r="U16" s="34">
        <v>124464.57142857142</v>
      </c>
      <c r="V16" s="23">
        <f>J16+L16+N16+P16</f>
        <v>61</v>
      </c>
      <c r="W16" s="35"/>
      <c r="X16" s="35"/>
      <c r="Y16" s="35"/>
      <c r="Z16" s="35"/>
    </row>
    <row r="17" spans="1:106" s="37" customFormat="1" ht="15" customHeight="1">
      <c r="A17" s="27">
        <v>13</v>
      </c>
      <c r="B17" s="24" t="s">
        <v>46</v>
      </c>
      <c r="C17" s="28" t="s">
        <v>47</v>
      </c>
      <c r="D17" s="29" t="s">
        <v>37</v>
      </c>
      <c r="E17" s="28">
        <v>5</v>
      </c>
      <c r="F17" s="30">
        <v>302</v>
      </c>
      <c r="G17" s="31">
        <v>28550</v>
      </c>
      <c r="H17" s="32"/>
      <c r="I17" s="57">
        <v>0</v>
      </c>
      <c r="J17" s="57">
        <v>0</v>
      </c>
      <c r="K17" s="57">
        <v>0</v>
      </c>
      <c r="L17" s="57">
        <v>0</v>
      </c>
      <c r="M17" s="57">
        <v>950</v>
      </c>
      <c r="N17" s="57">
        <v>10</v>
      </c>
      <c r="O17" s="57">
        <v>0</v>
      </c>
      <c r="P17" s="57">
        <v>0</v>
      </c>
      <c r="Q17" s="55">
        <f t="shared" si="0"/>
        <v>950</v>
      </c>
      <c r="R17" s="56">
        <f t="shared" si="1"/>
        <v>848.21428571428567</v>
      </c>
      <c r="S17" s="50">
        <f t="shared" si="2"/>
        <v>10</v>
      </c>
      <c r="T17" s="38">
        <v>85188</v>
      </c>
      <c r="U17" s="34">
        <v>72518.928571428565</v>
      </c>
      <c r="V17" s="23">
        <f>J17+L17+N17+P17</f>
        <v>10</v>
      </c>
      <c r="W17" s="35"/>
      <c r="X17" s="35"/>
      <c r="Y17" s="35"/>
      <c r="Z17" s="35"/>
    </row>
    <row r="18" spans="1:106" s="37" customFormat="1" ht="15" customHeight="1">
      <c r="A18" s="27">
        <v>14</v>
      </c>
      <c r="B18" s="24" t="s">
        <v>48</v>
      </c>
      <c r="C18" s="28" t="s">
        <v>49</v>
      </c>
      <c r="D18" s="29" t="s">
        <v>37</v>
      </c>
      <c r="E18" s="28">
        <v>5</v>
      </c>
      <c r="F18" s="30">
        <v>847</v>
      </c>
      <c r="G18" s="31">
        <v>94415</v>
      </c>
      <c r="H18" s="32"/>
      <c r="I18" s="57">
        <v>5675</v>
      </c>
      <c r="J18" s="57">
        <v>55</v>
      </c>
      <c r="K18" s="57">
        <v>7815</v>
      </c>
      <c r="L18" s="57">
        <v>67</v>
      </c>
      <c r="M18" s="57">
        <v>6160</v>
      </c>
      <c r="N18" s="57">
        <v>58</v>
      </c>
      <c r="O18" s="57">
        <v>0</v>
      </c>
      <c r="P18" s="57">
        <v>0</v>
      </c>
      <c r="Q18" s="55">
        <f t="shared" si="0"/>
        <v>19650</v>
      </c>
      <c r="R18" s="56">
        <f t="shared" si="1"/>
        <v>17544.642857142859</v>
      </c>
      <c r="S18" s="50">
        <f t="shared" si="2"/>
        <v>180</v>
      </c>
      <c r="T18" s="38">
        <v>473695</v>
      </c>
      <c r="U18" s="34">
        <v>410461.60714285716</v>
      </c>
      <c r="V18" s="23">
        <f>J18+L18+N18+P18</f>
        <v>180</v>
      </c>
      <c r="W18" s="35"/>
      <c r="X18" s="35"/>
      <c r="Y18" s="35"/>
      <c r="Z18" s="35"/>
    </row>
    <row r="19" spans="1:106" s="37" customFormat="1" ht="15" customHeight="1">
      <c r="A19" s="27">
        <v>15</v>
      </c>
      <c r="B19" s="28" t="s">
        <v>50</v>
      </c>
      <c r="C19" s="28" t="s">
        <v>51</v>
      </c>
      <c r="D19" s="29" t="s">
        <v>37</v>
      </c>
      <c r="E19" s="28">
        <v>5</v>
      </c>
      <c r="F19" s="30">
        <v>275</v>
      </c>
      <c r="G19" s="31">
        <v>28875</v>
      </c>
      <c r="H19" s="32"/>
      <c r="I19" s="57">
        <v>2520</v>
      </c>
      <c r="J19" s="57">
        <v>24</v>
      </c>
      <c r="K19" s="57">
        <v>6300</v>
      </c>
      <c r="L19" s="57">
        <v>60</v>
      </c>
      <c r="M19" s="57">
        <v>1575</v>
      </c>
      <c r="N19" s="57">
        <v>15</v>
      </c>
      <c r="O19" s="57">
        <v>1680</v>
      </c>
      <c r="P19" s="57">
        <v>16</v>
      </c>
      <c r="Q19" s="55">
        <f t="shared" ref="Q19:Q22" si="3">I19+K19+M19+O19</f>
        <v>12075</v>
      </c>
      <c r="R19" s="56">
        <f t="shared" ref="R19:R22" si="4">Q19-Q19*12/112</f>
        <v>10781.25</v>
      </c>
      <c r="S19" s="50">
        <f t="shared" ref="S19:S22" si="5">J19+L19+N19+P19</f>
        <v>115</v>
      </c>
      <c r="T19" s="38">
        <v>87170</v>
      </c>
      <c r="U19" s="34">
        <v>77180.57142857142</v>
      </c>
      <c r="V19" s="23">
        <f>J19+L19+N19+P19</f>
        <v>115</v>
      </c>
      <c r="W19" s="35"/>
      <c r="X19" s="35"/>
      <c r="Y19" s="35"/>
      <c r="Z19" s="35"/>
    </row>
    <row r="20" spans="1:106" s="37" customFormat="1" ht="15" customHeight="1">
      <c r="A20" s="27">
        <v>16</v>
      </c>
      <c r="B20" s="28" t="s">
        <v>53</v>
      </c>
      <c r="C20" s="28" t="s">
        <v>32</v>
      </c>
      <c r="D20" s="29" t="s">
        <v>37</v>
      </c>
      <c r="E20" s="28">
        <v>5</v>
      </c>
      <c r="F20" s="30">
        <v>550</v>
      </c>
      <c r="G20" s="31">
        <v>63750</v>
      </c>
      <c r="H20" s="32"/>
      <c r="I20" s="57">
        <v>2310</v>
      </c>
      <c r="J20" s="57">
        <v>22</v>
      </c>
      <c r="K20" s="57">
        <v>1890</v>
      </c>
      <c r="L20" s="57">
        <v>18</v>
      </c>
      <c r="M20" s="57">
        <v>945</v>
      </c>
      <c r="N20" s="57">
        <v>9</v>
      </c>
      <c r="O20" s="57">
        <v>1155</v>
      </c>
      <c r="P20" s="57">
        <v>11</v>
      </c>
      <c r="Q20" s="55">
        <f t="shared" si="3"/>
        <v>6300</v>
      </c>
      <c r="R20" s="56">
        <f t="shared" si="4"/>
        <v>5625</v>
      </c>
      <c r="S20" s="50">
        <f t="shared" si="5"/>
        <v>60</v>
      </c>
      <c r="T20" s="38">
        <v>144280</v>
      </c>
      <c r="U20" s="34">
        <v>122726.07142857142</v>
      </c>
      <c r="V20" s="23">
        <f>J20+L20+N20+P20</f>
        <v>60</v>
      </c>
      <c r="W20" s="35"/>
      <c r="X20" s="35"/>
      <c r="Y20" s="35"/>
      <c r="Z20" s="35"/>
    </row>
    <row r="21" spans="1:106" s="37" customFormat="1" ht="15" customHeight="1">
      <c r="A21" s="27">
        <v>17</v>
      </c>
      <c r="B21" s="28" t="s">
        <v>54</v>
      </c>
      <c r="C21" s="28" t="s">
        <v>55</v>
      </c>
      <c r="D21" s="29" t="s">
        <v>37</v>
      </c>
      <c r="E21" s="28">
        <v>5</v>
      </c>
      <c r="F21" s="30">
        <v>570</v>
      </c>
      <c r="G21" s="31">
        <v>26250</v>
      </c>
      <c r="H21" s="32"/>
      <c r="I21" s="57">
        <v>1260</v>
      </c>
      <c r="J21" s="57">
        <v>12</v>
      </c>
      <c r="K21" s="57">
        <v>1680</v>
      </c>
      <c r="L21" s="57">
        <v>16</v>
      </c>
      <c r="M21" s="57">
        <v>0</v>
      </c>
      <c r="N21" s="57">
        <v>0</v>
      </c>
      <c r="O21" s="57">
        <v>0</v>
      </c>
      <c r="P21" s="57">
        <v>0</v>
      </c>
      <c r="Q21" s="55">
        <f t="shared" si="3"/>
        <v>2940</v>
      </c>
      <c r="R21" s="56">
        <f t="shared" si="4"/>
        <v>2625</v>
      </c>
      <c r="S21" s="50">
        <f t="shared" si="5"/>
        <v>28</v>
      </c>
      <c r="T21" s="38">
        <v>11726</v>
      </c>
      <c r="U21" s="34">
        <v>10976.25</v>
      </c>
      <c r="V21" s="23">
        <f>J21+L21+N21+P21</f>
        <v>28</v>
      </c>
      <c r="W21" s="35"/>
      <c r="X21" s="35"/>
      <c r="Y21" s="35"/>
      <c r="Z21" s="35"/>
    </row>
    <row r="22" spans="1:106" s="37" customFormat="1" ht="15" customHeight="1">
      <c r="A22" s="27">
        <v>18</v>
      </c>
      <c r="B22" s="28" t="s">
        <v>56</v>
      </c>
      <c r="C22" s="28" t="s">
        <v>57</v>
      </c>
      <c r="D22" s="29" t="s">
        <v>37</v>
      </c>
      <c r="E22" s="28">
        <v>5</v>
      </c>
      <c r="F22" s="30">
        <v>400</v>
      </c>
      <c r="G22" s="31">
        <v>38000</v>
      </c>
      <c r="H22" s="32"/>
      <c r="I22" s="57">
        <v>0</v>
      </c>
      <c r="J22" s="57">
        <v>0</v>
      </c>
      <c r="K22" s="57">
        <v>1140</v>
      </c>
      <c r="L22" s="57">
        <v>12</v>
      </c>
      <c r="M22" s="57">
        <v>0</v>
      </c>
      <c r="N22" s="57">
        <v>0</v>
      </c>
      <c r="O22" s="57">
        <v>855</v>
      </c>
      <c r="P22" s="57">
        <v>9</v>
      </c>
      <c r="Q22" s="55">
        <f t="shared" si="3"/>
        <v>1995</v>
      </c>
      <c r="R22" s="56">
        <f t="shared" si="4"/>
        <v>1781.25</v>
      </c>
      <c r="S22" s="50">
        <f t="shared" si="5"/>
        <v>21</v>
      </c>
      <c r="T22" s="38">
        <v>43547</v>
      </c>
      <c r="U22" s="34">
        <v>37594.821428571428</v>
      </c>
      <c r="V22" s="23">
        <f>J22+L22+N22+P22</f>
        <v>21</v>
      </c>
      <c r="W22" s="35"/>
      <c r="X22" s="35"/>
      <c r="Y22" s="35"/>
      <c r="Z22" s="35"/>
    </row>
    <row r="23" spans="1:106" s="37" customFormat="1" ht="15" customHeight="1">
      <c r="A23" s="27">
        <v>19</v>
      </c>
      <c r="B23" s="28" t="s">
        <v>58</v>
      </c>
      <c r="C23" s="28" t="s">
        <v>57</v>
      </c>
      <c r="D23" s="29" t="s">
        <v>37</v>
      </c>
      <c r="E23" s="28">
        <v>5</v>
      </c>
      <c r="F23" s="30">
        <v>180</v>
      </c>
      <c r="G23" s="31">
        <v>17100</v>
      </c>
      <c r="H23" s="32"/>
      <c r="I23" s="57">
        <v>665</v>
      </c>
      <c r="J23" s="57">
        <v>7</v>
      </c>
      <c r="K23" s="57">
        <v>0</v>
      </c>
      <c r="L23" s="57">
        <v>0</v>
      </c>
      <c r="M23" s="57">
        <v>0</v>
      </c>
      <c r="N23" s="57">
        <v>0</v>
      </c>
      <c r="O23" s="57">
        <v>0</v>
      </c>
      <c r="P23" s="57">
        <v>0</v>
      </c>
      <c r="Q23" s="55">
        <f t="shared" ref="Q23:Q28" si="6">I23+K23+M23+O23</f>
        <v>665</v>
      </c>
      <c r="R23" s="56">
        <f t="shared" ref="R23:R28" si="7">Q23-Q23*12/112</f>
        <v>593.75</v>
      </c>
      <c r="S23" s="50">
        <f t="shared" ref="S23:S28" si="8">J23+L23+N23+P23</f>
        <v>7</v>
      </c>
      <c r="T23" s="38">
        <v>25080</v>
      </c>
      <c r="U23" s="34">
        <v>21391.678571428572</v>
      </c>
      <c r="V23" s="23">
        <f>J23+L23+N23+P23</f>
        <v>7</v>
      </c>
      <c r="W23" s="35"/>
      <c r="X23" s="35"/>
      <c r="Y23" s="35"/>
      <c r="Z23" s="35"/>
    </row>
    <row r="24" spans="1:106" s="37" customFormat="1" ht="15" customHeight="1">
      <c r="A24" s="27">
        <v>20</v>
      </c>
      <c r="B24" s="28" t="s">
        <v>59</v>
      </c>
      <c r="C24" s="28" t="s">
        <v>60</v>
      </c>
      <c r="D24" s="29" t="s">
        <v>37</v>
      </c>
      <c r="E24" s="28">
        <v>5</v>
      </c>
      <c r="F24" s="30">
        <v>400</v>
      </c>
      <c r="G24" s="31">
        <v>38000</v>
      </c>
      <c r="H24" s="32"/>
      <c r="I24" s="57">
        <v>1300</v>
      </c>
      <c r="J24" s="57">
        <v>13</v>
      </c>
      <c r="K24" s="57">
        <v>2000</v>
      </c>
      <c r="L24" s="57">
        <v>20</v>
      </c>
      <c r="M24" s="57">
        <v>1000</v>
      </c>
      <c r="N24" s="57">
        <v>10</v>
      </c>
      <c r="O24" s="57">
        <v>900</v>
      </c>
      <c r="P24" s="57">
        <v>9</v>
      </c>
      <c r="Q24" s="55">
        <f t="shared" si="6"/>
        <v>5200</v>
      </c>
      <c r="R24" s="56">
        <f t="shared" si="7"/>
        <v>4642.8571428571431</v>
      </c>
      <c r="S24" s="50">
        <f t="shared" si="8"/>
        <v>52</v>
      </c>
      <c r="T24" s="38">
        <v>97286</v>
      </c>
      <c r="U24" s="34">
        <v>93588</v>
      </c>
      <c r="V24" s="23">
        <f>J24+L24+N24+P24</f>
        <v>52</v>
      </c>
      <c r="W24" s="35"/>
      <c r="X24" s="35"/>
      <c r="Y24" s="35"/>
      <c r="Z24" s="35"/>
    </row>
    <row r="25" spans="1:106" s="74" customFormat="1" ht="15" customHeight="1">
      <c r="A25" s="62">
        <v>21</v>
      </c>
      <c r="B25" s="64" t="s">
        <v>61</v>
      </c>
      <c r="C25" s="64" t="s">
        <v>62</v>
      </c>
      <c r="D25" s="65" t="s">
        <v>37</v>
      </c>
      <c r="E25" s="64">
        <v>5</v>
      </c>
      <c r="F25" s="66">
        <v>370</v>
      </c>
      <c r="G25" s="67">
        <v>28750</v>
      </c>
      <c r="H25" s="20"/>
      <c r="I25" s="68">
        <v>300</v>
      </c>
      <c r="J25" s="68">
        <v>3</v>
      </c>
      <c r="K25" s="68"/>
      <c r="L25" s="68"/>
      <c r="M25" s="68">
        <v>300</v>
      </c>
      <c r="N25" s="68">
        <v>3</v>
      </c>
      <c r="O25" s="68">
        <v>0</v>
      </c>
      <c r="P25" s="68">
        <v>0</v>
      </c>
      <c r="Q25" s="68">
        <f t="shared" si="6"/>
        <v>600</v>
      </c>
      <c r="R25" s="69">
        <f t="shared" si="7"/>
        <v>535.71428571428567</v>
      </c>
      <c r="S25" s="70">
        <f t="shared" si="8"/>
        <v>6</v>
      </c>
      <c r="T25" s="75">
        <v>28293</v>
      </c>
      <c r="U25" s="72">
        <v>24752.857142857145</v>
      </c>
      <c r="V25" s="73">
        <f>J25+L25+N25+P25</f>
        <v>6</v>
      </c>
      <c r="W25" s="35"/>
      <c r="X25" s="35"/>
      <c r="Y25" s="35"/>
      <c r="Z25" s="35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</row>
    <row r="26" spans="1:106" s="37" customFormat="1" ht="15" customHeight="1">
      <c r="A26" s="27">
        <v>22</v>
      </c>
      <c r="B26" s="28" t="s">
        <v>63</v>
      </c>
      <c r="C26" s="28" t="s">
        <v>57</v>
      </c>
      <c r="D26" s="29" t="s">
        <v>37</v>
      </c>
      <c r="E26" s="28">
        <v>5</v>
      </c>
      <c r="F26" s="30">
        <v>664</v>
      </c>
      <c r="G26" s="31">
        <v>21088</v>
      </c>
      <c r="H26" s="32"/>
      <c r="I26" s="57">
        <v>1610</v>
      </c>
      <c r="J26" s="57">
        <v>14</v>
      </c>
      <c r="K26" s="57">
        <v>920</v>
      </c>
      <c r="L26" s="57">
        <v>8</v>
      </c>
      <c r="M26" s="57">
        <v>690</v>
      </c>
      <c r="N26" s="57">
        <v>6</v>
      </c>
      <c r="O26" s="57">
        <v>690</v>
      </c>
      <c r="P26" s="57">
        <v>6</v>
      </c>
      <c r="Q26" s="55">
        <f t="shared" si="6"/>
        <v>3910</v>
      </c>
      <c r="R26" s="56">
        <f t="shared" si="7"/>
        <v>3491.0714285714284</v>
      </c>
      <c r="S26" s="50">
        <f t="shared" si="8"/>
        <v>34</v>
      </c>
      <c r="T26" s="38">
        <v>67135</v>
      </c>
      <c r="U26" s="34">
        <v>56611.607142857145</v>
      </c>
      <c r="V26" s="23">
        <f>J26+L26+N26+P26</f>
        <v>34</v>
      </c>
      <c r="W26" s="35"/>
      <c r="X26" s="35"/>
      <c r="Y26" s="35"/>
      <c r="Z26" s="35"/>
    </row>
    <row r="27" spans="1:106" s="37" customFormat="1" ht="17.399999999999999">
      <c r="A27" s="27">
        <v>23</v>
      </c>
      <c r="B27" s="24" t="s">
        <v>64</v>
      </c>
      <c r="C27" s="28" t="s">
        <v>85</v>
      </c>
      <c r="D27" s="29" t="s">
        <v>37</v>
      </c>
      <c r="E27" s="28">
        <v>5</v>
      </c>
      <c r="F27" s="30">
        <v>525</v>
      </c>
      <c r="G27" s="31">
        <v>42975</v>
      </c>
      <c r="H27" s="32"/>
      <c r="I27" s="57">
        <v>3395</v>
      </c>
      <c r="J27" s="57">
        <v>31</v>
      </c>
      <c r="K27" s="57">
        <v>3810</v>
      </c>
      <c r="L27" s="57">
        <v>38</v>
      </c>
      <c r="M27" s="57">
        <v>2810</v>
      </c>
      <c r="N27" s="57">
        <v>27</v>
      </c>
      <c r="O27" s="57">
        <v>1535</v>
      </c>
      <c r="P27" s="57">
        <v>13</v>
      </c>
      <c r="Q27" s="55">
        <f t="shared" si="6"/>
        <v>11550</v>
      </c>
      <c r="R27" s="56">
        <f t="shared" si="7"/>
        <v>10312.5</v>
      </c>
      <c r="S27" s="50">
        <f t="shared" si="8"/>
        <v>109</v>
      </c>
      <c r="T27" s="38">
        <v>172145</v>
      </c>
      <c r="U27" s="34">
        <v>148246</v>
      </c>
      <c r="V27" s="23">
        <f>J27+L27+N27+P27</f>
        <v>109</v>
      </c>
      <c r="W27" s="35"/>
      <c r="X27" s="35"/>
      <c r="Y27" s="35"/>
      <c r="Z27" s="35"/>
    </row>
    <row r="28" spans="1:106" s="37" customFormat="1" ht="17.399999999999999">
      <c r="A28" s="27">
        <v>24</v>
      </c>
      <c r="B28" s="24" t="s">
        <v>66</v>
      </c>
      <c r="C28" s="28" t="s">
        <v>47</v>
      </c>
      <c r="D28" s="29" t="s">
        <v>37</v>
      </c>
      <c r="E28" s="28">
        <v>5</v>
      </c>
      <c r="F28" s="30">
        <v>449</v>
      </c>
      <c r="G28" s="31">
        <v>65105</v>
      </c>
      <c r="H28" s="32"/>
      <c r="I28" s="57">
        <v>4095</v>
      </c>
      <c r="J28" s="57">
        <v>39</v>
      </c>
      <c r="K28" s="57">
        <v>2835</v>
      </c>
      <c r="L28" s="57">
        <v>27</v>
      </c>
      <c r="M28" s="57">
        <v>1260</v>
      </c>
      <c r="N28" s="57">
        <v>12</v>
      </c>
      <c r="O28" s="57">
        <v>1680</v>
      </c>
      <c r="P28" s="57">
        <v>16</v>
      </c>
      <c r="Q28" s="55">
        <f t="shared" si="6"/>
        <v>9870</v>
      </c>
      <c r="R28" s="56">
        <f t="shared" si="7"/>
        <v>8812.5</v>
      </c>
      <c r="S28" s="50">
        <f t="shared" si="8"/>
        <v>94</v>
      </c>
      <c r="T28" s="38">
        <v>214455</v>
      </c>
      <c r="U28" s="34">
        <v>184361.35714285716</v>
      </c>
      <c r="V28" s="23">
        <f>J28+L28+N28+P28</f>
        <v>94</v>
      </c>
      <c r="W28" s="35"/>
      <c r="X28" s="35"/>
      <c r="Y28" s="35"/>
      <c r="Z28" s="35"/>
    </row>
    <row r="29" spans="1:106" s="37" customFormat="1" ht="17.399999999999999">
      <c r="A29" s="27">
        <v>25</v>
      </c>
      <c r="B29" s="28" t="s">
        <v>68</v>
      </c>
      <c r="C29" s="28" t="s">
        <v>69</v>
      </c>
      <c r="D29" s="29" t="s">
        <v>37</v>
      </c>
      <c r="E29" s="28">
        <v>5</v>
      </c>
      <c r="F29" s="30">
        <v>450</v>
      </c>
      <c r="G29" s="31">
        <v>43650</v>
      </c>
      <c r="H29" s="32"/>
      <c r="I29" s="57">
        <v>0</v>
      </c>
      <c r="J29" s="57">
        <v>0</v>
      </c>
      <c r="K29" s="57">
        <v>0</v>
      </c>
      <c r="L29" s="57">
        <v>0</v>
      </c>
      <c r="M29" s="57">
        <v>776</v>
      </c>
      <c r="N29" s="57">
        <v>8</v>
      </c>
      <c r="O29" s="57">
        <v>0</v>
      </c>
      <c r="P29" s="57">
        <v>0</v>
      </c>
      <c r="Q29" s="55">
        <f t="shared" ref="Q29:Q32" si="9">I29+K29+M29+O29</f>
        <v>776</v>
      </c>
      <c r="R29" s="56">
        <f t="shared" ref="R29:R32" si="10">Q29-Q29*12/112</f>
        <v>692.85714285714289</v>
      </c>
      <c r="S29" s="50">
        <f t="shared" ref="S29:S33" si="11">J29+L29+N29+P29</f>
        <v>8</v>
      </c>
      <c r="T29" s="38">
        <v>36046</v>
      </c>
      <c r="U29" s="34">
        <v>33053.964285714283</v>
      </c>
      <c r="V29" s="23">
        <f>J29+L29+N29+P29</f>
        <v>8</v>
      </c>
      <c r="W29" s="35"/>
      <c r="X29" s="35"/>
      <c r="Y29" s="35"/>
      <c r="Z29" s="35"/>
    </row>
    <row r="30" spans="1:106" s="37" customFormat="1" ht="17.399999999999999">
      <c r="A30" s="27">
        <v>26</v>
      </c>
      <c r="B30" s="28" t="s">
        <v>70</v>
      </c>
      <c r="C30" s="28" t="s">
        <v>71</v>
      </c>
      <c r="D30" s="29" t="s">
        <v>37</v>
      </c>
      <c r="E30" s="28">
        <v>5</v>
      </c>
      <c r="F30" s="30">
        <v>300</v>
      </c>
      <c r="G30" s="31">
        <v>29100</v>
      </c>
      <c r="H30" s="32"/>
      <c r="I30" s="57">
        <v>485</v>
      </c>
      <c r="J30" s="57">
        <v>5</v>
      </c>
      <c r="K30" s="57">
        <v>679</v>
      </c>
      <c r="L30" s="57">
        <v>7</v>
      </c>
      <c r="M30" s="57">
        <v>485</v>
      </c>
      <c r="N30" s="57">
        <v>5</v>
      </c>
      <c r="O30" s="57">
        <v>582</v>
      </c>
      <c r="P30" s="57">
        <v>6</v>
      </c>
      <c r="Q30" s="55">
        <f t="shared" si="9"/>
        <v>2231</v>
      </c>
      <c r="R30" s="56">
        <f t="shared" si="10"/>
        <v>1991.9642857142858</v>
      </c>
      <c r="S30" s="50">
        <f t="shared" si="11"/>
        <v>23</v>
      </c>
      <c r="T30" s="38">
        <v>33853</v>
      </c>
      <c r="U30" s="34">
        <v>29918.142857142855</v>
      </c>
      <c r="V30" s="23">
        <f>J30+L30+N30+P30</f>
        <v>23</v>
      </c>
      <c r="W30" s="35"/>
      <c r="X30" s="35"/>
      <c r="Y30" s="35"/>
      <c r="Z30" s="35"/>
    </row>
    <row r="31" spans="1:106" s="37" customFormat="1" ht="17.399999999999999">
      <c r="A31" s="27">
        <v>27</v>
      </c>
      <c r="B31" s="28" t="s">
        <v>72</v>
      </c>
      <c r="C31" s="28" t="s">
        <v>73</v>
      </c>
      <c r="D31" s="29" t="s">
        <v>37</v>
      </c>
      <c r="E31" s="28">
        <v>5</v>
      </c>
      <c r="F31" s="30">
        <v>896</v>
      </c>
      <c r="G31" s="31">
        <v>144420</v>
      </c>
      <c r="H31" s="32"/>
      <c r="I31" s="57">
        <v>4085</v>
      </c>
      <c r="J31" s="57">
        <v>0</v>
      </c>
      <c r="K31" s="57">
        <v>5420</v>
      </c>
      <c r="L31" s="57">
        <v>41</v>
      </c>
      <c r="M31" s="57">
        <v>4895</v>
      </c>
      <c r="N31" s="57">
        <v>38</v>
      </c>
      <c r="O31" s="57">
        <v>0</v>
      </c>
      <c r="P31" s="57">
        <v>0</v>
      </c>
      <c r="Q31" s="55">
        <f>I31+K31+M31+O31</f>
        <v>14400</v>
      </c>
      <c r="R31" s="56">
        <f t="shared" si="10"/>
        <v>12857.142857142857</v>
      </c>
      <c r="S31" s="50">
        <f t="shared" si="11"/>
        <v>79</v>
      </c>
      <c r="T31" s="33">
        <v>465130</v>
      </c>
      <c r="U31" s="34">
        <v>405466.03571428568</v>
      </c>
      <c r="V31" s="23">
        <f>J31+L31+N31+P31</f>
        <v>79</v>
      </c>
      <c r="W31" s="35"/>
      <c r="X31" s="35"/>
      <c r="Y31" s="36"/>
      <c r="Z31" s="35"/>
    </row>
    <row r="32" spans="1:106" ht="17.399999999999999">
      <c r="A32" s="15">
        <v>28</v>
      </c>
      <c r="B32" s="16" t="s">
        <v>74</v>
      </c>
      <c r="C32" s="16" t="s">
        <v>45</v>
      </c>
      <c r="D32" s="17" t="s">
        <v>37</v>
      </c>
      <c r="E32" s="16">
        <v>5</v>
      </c>
      <c r="F32" s="18">
        <v>360</v>
      </c>
      <c r="G32" s="19">
        <v>42700</v>
      </c>
      <c r="H32" s="20"/>
      <c r="I32" s="55">
        <v>1470</v>
      </c>
      <c r="J32" s="55">
        <v>22</v>
      </c>
      <c r="K32" s="55">
        <v>1635</v>
      </c>
      <c r="L32" s="55">
        <v>25</v>
      </c>
      <c r="M32" s="55">
        <v>2010</v>
      </c>
      <c r="N32" s="55">
        <v>30</v>
      </c>
      <c r="O32" s="55">
        <v>1170</v>
      </c>
      <c r="P32" s="55">
        <v>14</v>
      </c>
      <c r="Q32" s="55">
        <f t="shared" si="9"/>
        <v>6285</v>
      </c>
      <c r="R32" s="56">
        <f t="shared" si="10"/>
        <v>5611.6071428571431</v>
      </c>
      <c r="S32" s="50">
        <f t="shared" si="11"/>
        <v>91</v>
      </c>
      <c r="T32" s="21">
        <v>120395</v>
      </c>
      <c r="U32" s="22">
        <v>104139.42857142858</v>
      </c>
      <c r="V32" s="23">
        <f>J32+L32+N32+P32</f>
        <v>91</v>
      </c>
      <c r="W32" s="35"/>
      <c r="X32" s="35"/>
      <c r="Y32" s="35"/>
      <c r="Z32" s="35"/>
    </row>
    <row r="33" spans="1:106" s="37" customFormat="1" ht="17.399999999999999">
      <c r="A33" s="27">
        <v>29</v>
      </c>
      <c r="B33" s="28" t="s">
        <v>75</v>
      </c>
      <c r="C33" s="28" t="s">
        <v>76</v>
      </c>
      <c r="D33" s="29" t="s">
        <v>37</v>
      </c>
      <c r="E33" s="28">
        <v>5</v>
      </c>
      <c r="F33" s="30">
        <v>726</v>
      </c>
      <c r="G33" s="31">
        <v>32670</v>
      </c>
      <c r="H33" s="32"/>
      <c r="I33" s="57">
        <v>2175</v>
      </c>
      <c r="J33" s="57">
        <v>15</v>
      </c>
      <c r="K33" s="57">
        <v>2175</v>
      </c>
      <c r="L33" s="57">
        <v>15</v>
      </c>
      <c r="M33" s="57">
        <v>870</v>
      </c>
      <c r="N33" s="57">
        <v>6</v>
      </c>
      <c r="O33" s="57">
        <v>0</v>
      </c>
      <c r="P33" s="57">
        <v>0</v>
      </c>
      <c r="Q33" s="55">
        <f>I33+K33+M33+O33</f>
        <v>5220</v>
      </c>
      <c r="R33" s="56">
        <f t="shared" ref="R33:R34" si="12">Q33-Q33*12/112</f>
        <v>4660.7142857142853</v>
      </c>
      <c r="S33" s="50">
        <f t="shared" si="11"/>
        <v>36</v>
      </c>
      <c r="T33" s="38">
        <v>87437</v>
      </c>
      <c r="U33" s="34">
        <v>73798</v>
      </c>
      <c r="V33" s="23">
        <f>J33+L33+N33+P33</f>
        <v>36</v>
      </c>
      <c r="W33" s="35"/>
      <c r="X33" s="35"/>
      <c r="Y33" s="35"/>
      <c r="Z33" s="35"/>
    </row>
    <row r="34" spans="1:106" s="74" customFormat="1" ht="17.399999999999999">
      <c r="A34" s="62">
        <v>30</v>
      </c>
      <c r="B34" s="64" t="s">
        <v>77</v>
      </c>
      <c r="C34" s="64" t="s">
        <v>78</v>
      </c>
      <c r="D34" s="65" t="s">
        <v>37</v>
      </c>
      <c r="E34" s="64">
        <v>5</v>
      </c>
      <c r="F34" s="66">
        <v>600</v>
      </c>
      <c r="G34" s="67">
        <v>49142</v>
      </c>
      <c r="H34" s="20"/>
      <c r="I34" s="68">
        <v>800</v>
      </c>
      <c r="J34" s="68">
        <v>8</v>
      </c>
      <c r="K34" s="68">
        <v>1500</v>
      </c>
      <c r="L34" s="68">
        <v>15</v>
      </c>
      <c r="M34" s="68">
        <v>800</v>
      </c>
      <c r="N34" s="68">
        <v>8</v>
      </c>
      <c r="O34" s="68">
        <v>0</v>
      </c>
      <c r="P34" s="68">
        <v>0</v>
      </c>
      <c r="Q34" s="68">
        <f t="shared" ref="Q34" si="13">I34+K34+M34+O34</f>
        <v>3100</v>
      </c>
      <c r="R34" s="69">
        <f t="shared" si="12"/>
        <v>2767.8571428571427</v>
      </c>
      <c r="S34" s="70">
        <f t="shared" ref="S34" si="14">J34+L34+N34+P34</f>
        <v>31</v>
      </c>
      <c r="T34" s="75">
        <v>60309</v>
      </c>
      <c r="U34" s="72">
        <v>52847.571428571428</v>
      </c>
      <c r="V34" s="73">
        <f>J34+L34+N34+P34</f>
        <v>31</v>
      </c>
      <c r="W34" s="35"/>
      <c r="X34" s="35"/>
      <c r="Y34" s="35"/>
      <c r="Z34" s="35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</row>
    <row r="35" spans="1:106" ht="17.399999999999999">
      <c r="A35" s="15">
        <v>31</v>
      </c>
      <c r="B35" s="16" t="s">
        <v>79</v>
      </c>
      <c r="C35" s="16" t="s">
        <v>80</v>
      </c>
      <c r="D35" s="17" t="s">
        <v>86</v>
      </c>
      <c r="E35" s="16">
        <v>5</v>
      </c>
      <c r="F35" s="18"/>
      <c r="G35" s="19"/>
      <c r="H35" s="20"/>
      <c r="I35" s="55"/>
      <c r="J35" s="55"/>
      <c r="K35" s="55"/>
      <c r="L35" s="55"/>
      <c r="M35" s="55"/>
      <c r="N35" s="55"/>
      <c r="O35" s="55"/>
      <c r="P35" s="55"/>
      <c r="Q35" s="55">
        <f t="shared" ref="Q35" si="15">I35+K35+M35+O35</f>
        <v>0</v>
      </c>
      <c r="R35" s="56">
        <f t="shared" ref="R35" si="16">Q35-Q35*12/112</f>
        <v>0</v>
      </c>
      <c r="S35" s="50">
        <f t="shared" ref="S35" si="17">J35+L35+N35+P35</f>
        <v>0</v>
      </c>
      <c r="T35" s="21">
        <v>0</v>
      </c>
      <c r="U35" s="22">
        <v>0</v>
      </c>
      <c r="V35" s="23">
        <f>J35+L35+N35+P35</f>
        <v>0</v>
      </c>
      <c r="W35" s="35"/>
      <c r="X35" s="35"/>
      <c r="Y35" s="35"/>
      <c r="Z35" s="35"/>
    </row>
    <row r="36" spans="1:106" ht="15.6">
      <c r="A36" s="84" t="s">
        <v>81</v>
      </c>
      <c r="B36" s="85"/>
      <c r="C36" s="85"/>
      <c r="D36" s="85"/>
      <c r="E36" s="85"/>
      <c r="F36" s="86"/>
      <c r="G36" s="39"/>
      <c r="H36" s="40"/>
      <c r="I36" s="53">
        <f>SUM(I5:I35)</f>
        <v>52783</v>
      </c>
      <c r="J36" s="53">
        <f t="shared" ref="J36:V36" si="18">SUM(J5:J35)</f>
        <v>486</v>
      </c>
      <c r="K36" s="53">
        <f t="shared" si="18"/>
        <v>70327</v>
      </c>
      <c r="L36" s="53">
        <f t="shared" si="18"/>
        <v>648</v>
      </c>
      <c r="M36" s="53">
        <f t="shared" si="18"/>
        <v>41106</v>
      </c>
      <c r="N36" s="53">
        <f t="shared" si="18"/>
        <v>393</v>
      </c>
      <c r="O36" s="53">
        <f t="shared" si="18"/>
        <v>18554</v>
      </c>
      <c r="P36" s="53">
        <f t="shared" si="18"/>
        <v>177</v>
      </c>
      <c r="Q36" s="53">
        <f t="shared" si="18"/>
        <v>182770</v>
      </c>
      <c r="R36" s="54">
        <f t="shared" si="18"/>
        <v>163187.5</v>
      </c>
      <c r="S36" s="41">
        <f t="shared" si="18"/>
        <v>1704</v>
      </c>
      <c r="T36" s="42">
        <f t="shared" si="18"/>
        <v>4355102</v>
      </c>
      <c r="U36" s="43">
        <f t="shared" si="18"/>
        <v>3770720.0357142854</v>
      </c>
      <c r="V36" s="44">
        <f t="shared" si="18"/>
        <v>1704</v>
      </c>
      <c r="W36" s="35"/>
      <c r="X36" s="45"/>
      <c r="Y36" s="35"/>
      <c r="Z36" s="35"/>
    </row>
    <row r="37" spans="1:106" ht="15.6">
      <c r="A37" s="3"/>
      <c r="B37" s="3"/>
      <c r="C37" s="3"/>
      <c r="D37" s="3"/>
      <c r="E37" s="3"/>
      <c r="F37" s="3"/>
      <c r="G37" s="3"/>
      <c r="H37" s="3"/>
      <c r="I37" s="1"/>
      <c r="J37" s="1"/>
      <c r="K37" s="2"/>
      <c r="L37" s="2"/>
      <c r="M37" s="2"/>
      <c r="N37" s="2"/>
      <c r="O37" s="2"/>
      <c r="P37" s="2"/>
      <c r="Q37" s="1"/>
      <c r="R37" s="1"/>
      <c r="S37" s="1"/>
      <c r="T37" s="3"/>
      <c r="U37" s="47"/>
      <c r="V37" s="3"/>
      <c r="W37" s="35"/>
      <c r="X37" s="35"/>
      <c r="Y37" s="35"/>
      <c r="Z37" s="35"/>
    </row>
    <row r="38" spans="1:106" ht="15.6">
      <c r="A38" s="3"/>
      <c r="B38" s="3"/>
      <c r="C38" s="3"/>
      <c r="D38" s="3"/>
      <c r="E38" s="3"/>
      <c r="F38" s="3"/>
      <c r="G38" s="3"/>
      <c r="H38" s="3"/>
      <c r="I38" s="1"/>
      <c r="J38" s="1"/>
      <c r="K38" s="2"/>
      <c r="L38" s="2"/>
      <c r="M38" s="2"/>
      <c r="N38" s="2"/>
      <c r="O38" s="2"/>
      <c r="P38" s="2"/>
      <c r="Q38" s="1"/>
      <c r="R38" s="1"/>
      <c r="S38" s="1"/>
      <c r="T38" s="3"/>
      <c r="U38" s="47"/>
      <c r="V38" s="3"/>
      <c r="W38" s="35"/>
      <c r="X38" s="35"/>
      <c r="Y38" s="35"/>
      <c r="Z38" s="35"/>
    </row>
    <row r="39" spans="1:106">
      <c r="I39" s="78"/>
      <c r="J39" s="78"/>
    </row>
    <row r="40" spans="1:106">
      <c r="I40" s="78"/>
      <c r="J40" s="78"/>
    </row>
    <row r="41" spans="1:106">
      <c r="I41" s="78"/>
      <c r="J41" s="78"/>
    </row>
    <row r="42" spans="1:106">
      <c r="I42" s="78"/>
      <c r="J42" s="78"/>
    </row>
    <row r="43" spans="1:106">
      <c r="I43" s="78"/>
      <c r="J43" s="78"/>
    </row>
    <row r="44" spans="1:106">
      <c r="I44" s="78"/>
      <c r="J44" s="78"/>
    </row>
    <row r="45" spans="1:106">
      <c r="I45" s="78"/>
      <c r="J45" s="78"/>
    </row>
    <row r="46" spans="1:106">
      <c r="I46" s="78"/>
      <c r="J46" s="78"/>
    </row>
    <row r="47" spans="1:106">
      <c r="I47" s="78"/>
      <c r="J47" s="78"/>
    </row>
    <row r="48" spans="1:106">
      <c r="I48" s="78"/>
      <c r="J48" s="78"/>
    </row>
    <row r="49" spans="9:10">
      <c r="I49" s="78"/>
      <c r="J49" s="78"/>
    </row>
    <row r="50" spans="9:10">
      <c r="I50" s="78"/>
      <c r="J50" s="78"/>
    </row>
    <row r="51" spans="9:10">
      <c r="I51" s="78"/>
      <c r="J51" s="78"/>
    </row>
    <row r="52" spans="9:10">
      <c r="I52" s="78"/>
      <c r="J52" s="78"/>
    </row>
    <row r="53" spans="9:10">
      <c r="I53" s="78"/>
      <c r="J53" s="78"/>
    </row>
    <row r="54" spans="9:10">
      <c r="I54" s="78"/>
      <c r="J54" s="78"/>
    </row>
    <row r="55" spans="9:10">
      <c r="I55" s="78"/>
      <c r="J55" s="78"/>
    </row>
    <row r="56" spans="9:10">
      <c r="I56" s="78"/>
      <c r="J56" s="78"/>
    </row>
    <row r="57" spans="9:10">
      <c r="I57" s="78"/>
      <c r="J57" s="78"/>
    </row>
    <row r="58" spans="9:10">
      <c r="I58" s="78"/>
      <c r="J58" s="78"/>
    </row>
    <row r="59" spans="9:10">
      <c r="I59" s="78"/>
      <c r="J59" s="78"/>
    </row>
    <row r="60" spans="9:10">
      <c r="I60" s="78"/>
      <c r="J60" s="78"/>
    </row>
    <row r="61" spans="9:10">
      <c r="I61" s="78"/>
      <c r="J61" s="78"/>
    </row>
    <row r="62" spans="9:10">
      <c r="I62" s="78"/>
      <c r="J62" s="78"/>
    </row>
    <row r="63" spans="9:10">
      <c r="I63" s="78"/>
      <c r="J63" s="78"/>
    </row>
    <row r="64" spans="9:10">
      <c r="I64" s="78"/>
      <c r="J64" s="78"/>
    </row>
    <row r="65" spans="9:10">
      <c r="I65" s="78"/>
      <c r="J65" s="78"/>
    </row>
    <row r="66" spans="9:10">
      <c r="I66" s="78"/>
      <c r="J66" s="78"/>
    </row>
    <row r="67" spans="9:10">
      <c r="I67" s="78"/>
      <c r="J67" s="78"/>
    </row>
    <row r="68" spans="9:10">
      <c r="I68" s="78"/>
      <c r="J68" s="78"/>
    </row>
    <row r="69" spans="9:10">
      <c r="I69" s="78"/>
      <c r="J69" s="78"/>
    </row>
    <row r="70" spans="9:10">
      <c r="I70" s="78"/>
      <c r="J70" s="78"/>
    </row>
    <row r="71" spans="9:10">
      <c r="I71" s="78"/>
      <c r="J71" s="78"/>
    </row>
    <row r="72" spans="9:10">
      <c r="I72" s="78"/>
      <c r="J72" s="78"/>
    </row>
    <row r="73" spans="9:10">
      <c r="I73" s="78"/>
      <c r="J73" s="78"/>
    </row>
    <row r="74" spans="9:10">
      <c r="I74" s="78"/>
      <c r="J74" s="78"/>
    </row>
    <row r="75" spans="9:10">
      <c r="I75" s="78"/>
      <c r="J75" s="78"/>
    </row>
    <row r="76" spans="9:10">
      <c r="I76" s="78"/>
      <c r="J76" s="78"/>
    </row>
    <row r="77" spans="9:10">
      <c r="I77" s="78"/>
      <c r="J77" s="78"/>
    </row>
    <row r="78" spans="9:10">
      <c r="I78" s="78"/>
      <c r="J78" s="78"/>
    </row>
    <row r="79" spans="9:10">
      <c r="I79" s="78"/>
      <c r="J79" s="78"/>
    </row>
    <row r="80" spans="9:10">
      <c r="I80" s="78"/>
      <c r="J80" s="78"/>
    </row>
    <row r="81" spans="9:10">
      <c r="I81" s="78"/>
      <c r="J81" s="78"/>
    </row>
    <row r="82" spans="9:10">
      <c r="I82" s="78"/>
      <c r="J82" s="78"/>
    </row>
    <row r="83" spans="9:10">
      <c r="I83" s="78"/>
      <c r="J83" s="78"/>
    </row>
    <row r="84" spans="9:10">
      <c r="I84" s="78"/>
      <c r="J84" s="78"/>
    </row>
    <row r="85" spans="9:10">
      <c r="I85" s="78"/>
      <c r="J85" s="78"/>
    </row>
    <row r="86" spans="9:10">
      <c r="I86" s="78"/>
      <c r="J86" s="78"/>
    </row>
    <row r="87" spans="9:10">
      <c r="I87" s="78"/>
      <c r="J87" s="78"/>
    </row>
    <row r="88" spans="9:10">
      <c r="I88" s="78"/>
      <c r="J88" s="78"/>
    </row>
    <row r="89" spans="9:10">
      <c r="I89" s="78"/>
      <c r="J89" s="78"/>
    </row>
    <row r="90" spans="9:10">
      <c r="I90" s="78"/>
      <c r="J90" s="78"/>
    </row>
    <row r="91" spans="9:10">
      <c r="I91" s="78"/>
      <c r="J91" s="78"/>
    </row>
    <row r="92" spans="9:10">
      <c r="I92" s="78"/>
      <c r="J92" s="78"/>
    </row>
    <row r="93" spans="9:10">
      <c r="I93" s="78"/>
      <c r="J93" s="78"/>
    </row>
    <row r="94" spans="9:10">
      <c r="I94" s="78"/>
      <c r="J94" s="78"/>
    </row>
    <row r="95" spans="9:10">
      <c r="I95" s="78"/>
      <c r="J95" s="78"/>
    </row>
    <row r="96" spans="9:10">
      <c r="I96" s="78"/>
      <c r="J96" s="78"/>
    </row>
    <row r="97" spans="9:10">
      <c r="I97" s="78"/>
      <c r="J97" s="78"/>
    </row>
    <row r="98" spans="9:10">
      <c r="I98" s="78"/>
      <c r="J98" s="78"/>
    </row>
    <row r="99" spans="9:10">
      <c r="I99" s="78"/>
      <c r="J99" s="78"/>
    </row>
    <row r="100" spans="9:10">
      <c r="I100" s="78"/>
      <c r="J100" s="78"/>
    </row>
    <row r="101" spans="9:10">
      <c r="I101" s="78"/>
      <c r="J101" s="78"/>
    </row>
    <row r="102" spans="9:10">
      <c r="I102" s="78"/>
      <c r="J102" s="78"/>
    </row>
    <row r="103" spans="9:10">
      <c r="I103" s="78"/>
      <c r="J103" s="78"/>
    </row>
    <row r="104" spans="9:10">
      <c r="I104" s="78"/>
      <c r="J104" s="78"/>
    </row>
    <row r="105" spans="9:10">
      <c r="I105" s="78"/>
      <c r="J105" s="78"/>
    </row>
    <row r="106" spans="9:10">
      <c r="I106" s="78"/>
      <c r="J106" s="78"/>
    </row>
    <row r="107" spans="9:10">
      <c r="I107" s="78"/>
      <c r="J107" s="78"/>
    </row>
    <row r="108" spans="9:10">
      <c r="I108" s="78"/>
      <c r="J108" s="78"/>
    </row>
    <row r="109" spans="9:10">
      <c r="I109" s="78"/>
      <c r="J109" s="78"/>
    </row>
    <row r="110" spans="9:10">
      <c r="I110" s="78"/>
      <c r="J110" s="78"/>
    </row>
    <row r="111" spans="9:10">
      <c r="I111" s="78"/>
      <c r="J111" s="78"/>
    </row>
    <row r="112" spans="9:10">
      <c r="I112" s="78"/>
      <c r="J112" s="78"/>
    </row>
    <row r="113" spans="9:10">
      <c r="I113" s="78"/>
      <c r="J113" s="78"/>
    </row>
    <row r="114" spans="9:10">
      <c r="I114" s="78"/>
      <c r="J114" s="78"/>
    </row>
    <row r="115" spans="9:10">
      <c r="I115" s="78"/>
      <c r="J115" s="78"/>
    </row>
    <row r="116" spans="9:10">
      <c r="I116" s="78"/>
      <c r="J116" s="78"/>
    </row>
    <row r="117" spans="9:10">
      <c r="I117" s="78"/>
      <c r="J117" s="78"/>
    </row>
    <row r="118" spans="9:10">
      <c r="I118" s="78"/>
      <c r="J118" s="78"/>
    </row>
    <row r="119" spans="9:10">
      <c r="I119" s="78"/>
      <c r="J119" s="78"/>
    </row>
    <row r="120" spans="9:10">
      <c r="I120" s="78"/>
      <c r="J120" s="78"/>
    </row>
    <row r="121" spans="9:10">
      <c r="I121" s="78"/>
      <c r="J121" s="78"/>
    </row>
    <row r="122" spans="9:10">
      <c r="I122" s="78"/>
      <c r="J122" s="78"/>
    </row>
    <row r="123" spans="9:10">
      <c r="I123" s="78"/>
      <c r="J123" s="78"/>
    </row>
    <row r="124" spans="9:10">
      <c r="I124" s="78"/>
      <c r="J124" s="78"/>
    </row>
    <row r="125" spans="9:10">
      <c r="I125" s="78"/>
      <c r="J125" s="78"/>
    </row>
    <row r="126" spans="9:10">
      <c r="I126" s="78"/>
      <c r="J126" s="78"/>
    </row>
    <row r="127" spans="9:10">
      <c r="I127" s="78"/>
      <c r="J127" s="78"/>
    </row>
    <row r="128" spans="9:10">
      <c r="I128" s="78"/>
      <c r="J128" s="78"/>
    </row>
    <row r="129" spans="9:10">
      <c r="I129" s="78"/>
      <c r="J129" s="78"/>
    </row>
    <row r="130" spans="9:10">
      <c r="I130" s="78"/>
      <c r="J130" s="78"/>
    </row>
    <row r="131" spans="9:10">
      <c r="I131" s="78"/>
      <c r="J131" s="78"/>
    </row>
    <row r="132" spans="9:10">
      <c r="I132" s="78"/>
      <c r="J132" s="78"/>
    </row>
    <row r="133" spans="9:10">
      <c r="I133" s="78"/>
      <c r="J133" s="78"/>
    </row>
    <row r="134" spans="9:10">
      <c r="I134" s="78"/>
      <c r="J134" s="78"/>
    </row>
    <row r="135" spans="9:10">
      <c r="I135" s="78"/>
      <c r="J135" s="78"/>
    </row>
    <row r="136" spans="9:10">
      <c r="I136" s="78"/>
      <c r="J136" s="78"/>
    </row>
    <row r="137" spans="9:10">
      <c r="I137" s="78"/>
      <c r="J137" s="78"/>
    </row>
    <row r="138" spans="9:10">
      <c r="I138" s="78"/>
      <c r="J138" s="78"/>
    </row>
    <row r="139" spans="9:10">
      <c r="I139" s="78"/>
      <c r="J139" s="78"/>
    </row>
    <row r="140" spans="9:10">
      <c r="I140" s="78"/>
      <c r="J140" s="78"/>
    </row>
    <row r="141" spans="9:10">
      <c r="I141" s="78"/>
      <c r="J141" s="78"/>
    </row>
    <row r="142" spans="9:10">
      <c r="I142" s="78"/>
      <c r="J142" s="78"/>
    </row>
    <row r="143" spans="9:10">
      <c r="I143" s="78"/>
      <c r="J143" s="78"/>
    </row>
    <row r="144" spans="9:10">
      <c r="I144" s="78"/>
      <c r="J144" s="78"/>
    </row>
    <row r="145" spans="9:10">
      <c r="I145" s="78"/>
      <c r="J145" s="78"/>
    </row>
    <row r="146" spans="9:10">
      <c r="I146" s="78"/>
      <c r="J146" s="78"/>
    </row>
    <row r="147" spans="9:10">
      <c r="I147" s="78"/>
      <c r="J147" s="78"/>
    </row>
    <row r="148" spans="9:10">
      <c r="I148" s="78"/>
      <c r="J148" s="78"/>
    </row>
    <row r="149" spans="9:10">
      <c r="I149" s="78"/>
      <c r="J149" s="78"/>
    </row>
    <row r="150" spans="9:10">
      <c r="I150" s="78"/>
      <c r="J150" s="78"/>
    </row>
    <row r="151" spans="9:10">
      <c r="I151" s="78"/>
      <c r="J151" s="78"/>
    </row>
    <row r="152" spans="9:10">
      <c r="I152" s="78"/>
      <c r="J152" s="78"/>
    </row>
    <row r="153" spans="9:10">
      <c r="I153" s="78"/>
      <c r="J153" s="78"/>
    </row>
    <row r="154" spans="9:10">
      <c r="I154" s="78"/>
      <c r="J154" s="78"/>
    </row>
    <row r="155" spans="9:10">
      <c r="I155" s="78"/>
      <c r="J155" s="78"/>
    </row>
    <row r="156" spans="9:10">
      <c r="I156" s="78"/>
      <c r="J156" s="78"/>
    </row>
    <row r="157" spans="9:10">
      <c r="I157" s="78"/>
      <c r="J157" s="78"/>
    </row>
    <row r="158" spans="9:10">
      <c r="I158" s="78"/>
      <c r="J158" s="78"/>
    </row>
    <row r="159" spans="9:10">
      <c r="I159" s="78"/>
      <c r="J159" s="78"/>
    </row>
    <row r="160" spans="9:10">
      <c r="I160" s="78"/>
      <c r="J160" s="78"/>
    </row>
    <row r="161" spans="9:10">
      <c r="I161" s="78"/>
      <c r="J161" s="78"/>
    </row>
    <row r="162" spans="9:10">
      <c r="I162" s="78"/>
      <c r="J162" s="78"/>
    </row>
    <row r="163" spans="9:10">
      <c r="I163" s="78"/>
      <c r="J163" s="78"/>
    </row>
    <row r="164" spans="9:10">
      <c r="I164" s="78"/>
      <c r="J164" s="78"/>
    </row>
    <row r="165" spans="9:10">
      <c r="I165" s="78"/>
      <c r="J165" s="78"/>
    </row>
    <row r="166" spans="9:10">
      <c r="I166" s="78"/>
      <c r="J166" s="78"/>
    </row>
    <row r="167" spans="9:10">
      <c r="I167" s="78"/>
      <c r="J167" s="78"/>
    </row>
    <row r="168" spans="9:10">
      <c r="I168" s="78"/>
      <c r="J168" s="78"/>
    </row>
    <row r="169" spans="9:10">
      <c r="I169" s="78"/>
      <c r="J169" s="78"/>
    </row>
    <row r="170" spans="9:10">
      <c r="I170" s="78"/>
      <c r="J170" s="78"/>
    </row>
    <row r="171" spans="9:10">
      <c r="I171" s="78"/>
      <c r="J171" s="78"/>
    </row>
    <row r="172" spans="9:10">
      <c r="I172" s="78"/>
      <c r="J172" s="78"/>
    </row>
    <row r="173" spans="9:10">
      <c r="I173" s="78"/>
      <c r="J173" s="78"/>
    </row>
    <row r="174" spans="9:10">
      <c r="I174" s="78"/>
      <c r="J174" s="78"/>
    </row>
    <row r="175" spans="9:10">
      <c r="I175" s="78"/>
      <c r="J175" s="78"/>
    </row>
    <row r="176" spans="9:10">
      <c r="I176" s="78"/>
      <c r="J176" s="78"/>
    </row>
    <row r="177" spans="9:10">
      <c r="I177" s="78"/>
      <c r="J177" s="78"/>
    </row>
    <row r="178" spans="9:10">
      <c r="I178" s="78"/>
      <c r="J178" s="78"/>
    </row>
    <row r="179" spans="9:10">
      <c r="I179" s="78"/>
      <c r="J179" s="78"/>
    </row>
    <row r="180" spans="9:10">
      <c r="I180" s="78"/>
      <c r="J180" s="78"/>
    </row>
    <row r="181" spans="9:10">
      <c r="I181" s="78"/>
      <c r="J181" s="78"/>
    </row>
    <row r="182" spans="9:10">
      <c r="I182" s="78"/>
      <c r="J182" s="78"/>
    </row>
    <row r="183" spans="9:10">
      <c r="I183" s="78"/>
      <c r="J183" s="78"/>
    </row>
    <row r="184" spans="9:10">
      <c r="I184" s="78"/>
      <c r="J184" s="78"/>
    </row>
    <row r="185" spans="9:10">
      <c r="I185" s="78"/>
      <c r="J185" s="78"/>
    </row>
    <row r="186" spans="9:10">
      <c r="I186" s="78"/>
      <c r="J186" s="78"/>
    </row>
    <row r="187" spans="9:10">
      <c r="I187" s="78"/>
      <c r="J187" s="78"/>
    </row>
    <row r="188" spans="9:10">
      <c r="I188" s="78"/>
      <c r="J188" s="78"/>
    </row>
    <row r="189" spans="9:10">
      <c r="I189" s="78"/>
      <c r="J189" s="78"/>
    </row>
    <row r="190" spans="9:10">
      <c r="I190" s="78"/>
      <c r="J190" s="78"/>
    </row>
    <row r="191" spans="9:10">
      <c r="I191" s="78"/>
      <c r="J191" s="78"/>
    </row>
    <row r="192" spans="9:10">
      <c r="I192" s="78"/>
      <c r="J192" s="78"/>
    </row>
    <row r="193" spans="9:10">
      <c r="I193" s="78"/>
      <c r="J193" s="78"/>
    </row>
    <row r="194" spans="9:10">
      <c r="I194" s="78"/>
      <c r="J194" s="78"/>
    </row>
    <row r="195" spans="9:10">
      <c r="I195" s="78"/>
      <c r="J195" s="78"/>
    </row>
    <row r="196" spans="9:10">
      <c r="I196" s="78"/>
      <c r="J196" s="78"/>
    </row>
    <row r="197" spans="9:10">
      <c r="I197" s="78"/>
      <c r="J197" s="78"/>
    </row>
    <row r="198" spans="9:10">
      <c r="I198" s="78"/>
      <c r="J198" s="78"/>
    </row>
    <row r="199" spans="9:10">
      <c r="I199" s="78"/>
      <c r="J199" s="78"/>
    </row>
    <row r="200" spans="9:10">
      <c r="I200" s="78"/>
      <c r="J200" s="78"/>
    </row>
    <row r="201" spans="9:10">
      <c r="I201" s="78"/>
      <c r="J201" s="78"/>
    </row>
    <row r="202" spans="9:10">
      <c r="I202" s="78"/>
      <c r="J202" s="78"/>
    </row>
    <row r="203" spans="9:10">
      <c r="I203" s="78"/>
      <c r="J203" s="78"/>
    </row>
    <row r="204" spans="9:10">
      <c r="I204" s="78"/>
      <c r="J204" s="78"/>
    </row>
    <row r="205" spans="9:10">
      <c r="I205" s="78"/>
      <c r="J205" s="78"/>
    </row>
    <row r="206" spans="9:10">
      <c r="I206" s="78"/>
      <c r="J206" s="78"/>
    </row>
    <row r="207" spans="9:10">
      <c r="I207" s="78"/>
      <c r="J207" s="78"/>
    </row>
    <row r="208" spans="9:10">
      <c r="I208" s="78"/>
      <c r="J208" s="78"/>
    </row>
    <row r="209" spans="9:10">
      <c r="I209" s="78"/>
      <c r="J209" s="78"/>
    </row>
    <row r="210" spans="9:10">
      <c r="I210" s="78"/>
      <c r="J210" s="78"/>
    </row>
    <row r="211" spans="9:10">
      <c r="I211" s="78"/>
      <c r="J211" s="78"/>
    </row>
    <row r="212" spans="9:10">
      <c r="I212" s="78"/>
      <c r="J212" s="78"/>
    </row>
    <row r="213" spans="9:10">
      <c r="I213" s="78"/>
      <c r="J213" s="78"/>
    </row>
    <row r="214" spans="9:10">
      <c r="I214" s="78"/>
      <c r="J214" s="78"/>
    </row>
    <row r="215" spans="9:10">
      <c r="I215" s="78"/>
      <c r="J215" s="78"/>
    </row>
    <row r="216" spans="9:10">
      <c r="I216" s="78"/>
      <c r="J216" s="78"/>
    </row>
    <row r="217" spans="9:10">
      <c r="I217" s="78"/>
      <c r="J217" s="78"/>
    </row>
    <row r="218" spans="9:10">
      <c r="I218" s="78"/>
      <c r="J218" s="78"/>
    </row>
    <row r="219" spans="9:10">
      <c r="I219" s="78"/>
      <c r="J219" s="78"/>
    </row>
    <row r="220" spans="9:10">
      <c r="I220" s="78"/>
      <c r="J220" s="78"/>
    </row>
    <row r="221" spans="9:10">
      <c r="I221" s="78"/>
      <c r="J221" s="78"/>
    </row>
    <row r="222" spans="9:10">
      <c r="I222" s="78"/>
      <c r="J222" s="78"/>
    </row>
    <row r="223" spans="9:10">
      <c r="I223" s="78"/>
      <c r="J223" s="78"/>
    </row>
    <row r="224" spans="9:10">
      <c r="I224" s="78"/>
      <c r="J224" s="78"/>
    </row>
    <row r="225" spans="9:10">
      <c r="I225" s="78"/>
      <c r="J225" s="78"/>
    </row>
    <row r="226" spans="9:10">
      <c r="I226" s="78"/>
      <c r="J226" s="78"/>
    </row>
    <row r="227" spans="9:10">
      <c r="I227" s="78"/>
      <c r="J227" s="78"/>
    </row>
    <row r="228" spans="9:10">
      <c r="I228" s="78"/>
      <c r="J228" s="78"/>
    </row>
    <row r="229" spans="9:10">
      <c r="I229" s="78"/>
      <c r="J229" s="78"/>
    </row>
    <row r="230" spans="9:10">
      <c r="I230" s="78"/>
      <c r="J230" s="78"/>
    </row>
    <row r="231" spans="9:10">
      <c r="I231" s="78"/>
      <c r="J231" s="78"/>
    </row>
    <row r="232" spans="9:10">
      <c r="I232" s="78"/>
      <c r="J232" s="78"/>
    </row>
    <row r="233" spans="9:10">
      <c r="I233" s="78"/>
      <c r="J233" s="78"/>
    </row>
    <row r="234" spans="9:10">
      <c r="I234" s="78"/>
      <c r="J234" s="78"/>
    </row>
    <row r="235" spans="9:10">
      <c r="I235" s="78"/>
      <c r="J235" s="78"/>
    </row>
    <row r="236" spans="9:10">
      <c r="I236" s="78"/>
      <c r="J236" s="78"/>
    </row>
    <row r="237" spans="9:10">
      <c r="I237" s="78"/>
      <c r="J237" s="78"/>
    </row>
    <row r="238" spans="9:10">
      <c r="I238" s="78"/>
      <c r="J238" s="78"/>
    </row>
    <row r="239" spans="9:10">
      <c r="I239" s="78"/>
      <c r="J239" s="78"/>
    </row>
    <row r="240" spans="9:10">
      <c r="I240" s="78"/>
      <c r="J240" s="78"/>
    </row>
    <row r="241" spans="9:10">
      <c r="I241" s="78"/>
      <c r="J241" s="78"/>
    </row>
    <row r="242" spans="9:10">
      <c r="I242" s="78"/>
      <c r="J242" s="78"/>
    </row>
    <row r="243" spans="9:10">
      <c r="I243" s="78"/>
      <c r="J243" s="78"/>
    </row>
    <row r="244" spans="9:10">
      <c r="I244" s="78"/>
      <c r="J244" s="78"/>
    </row>
    <row r="245" spans="9:10">
      <c r="I245" s="78"/>
      <c r="J245" s="78"/>
    </row>
    <row r="246" spans="9:10">
      <c r="I246" s="78"/>
      <c r="J246" s="78"/>
    </row>
    <row r="247" spans="9:10">
      <c r="I247" s="78"/>
      <c r="J247" s="78"/>
    </row>
    <row r="248" spans="9:10">
      <c r="I248" s="78"/>
      <c r="J248" s="78"/>
    </row>
    <row r="249" spans="9:10">
      <c r="I249" s="78"/>
      <c r="J249" s="78"/>
    </row>
    <row r="250" spans="9:10">
      <c r="I250" s="78"/>
      <c r="J250" s="78"/>
    </row>
    <row r="251" spans="9:10">
      <c r="I251" s="78"/>
      <c r="J251" s="78"/>
    </row>
    <row r="252" spans="9:10">
      <c r="I252" s="78"/>
      <c r="J252" s="78"/>
    </row>
    <row r="253" spans="9:10">
      <c r="I253" s="78"/>
      <c r="J253" s="78"/>
    </row>
    <row r="254" spans="9:10">
      <c r="I254" s="78"/>
      <c r="J254" s="78"/>
    </row>
    <row r="255" spans="9:10">
      <c r="I255" s="78"/>
      <c r="J255" s="78"/>
    </row>
    <row r="256" spans="9:10">
      <c r="I256" s="78"/>
      <c r="J256" s="78"/>
    </row>
    <row r="257" spans="9:10">
      <c r="I257" s="78"/>
      <c r="J257" s="78"/>
    </row>
    <row r="258" spans="9:10">
      <c r="I258" s="78"/>
      <c r="J258" s="78"/>
    </row>
    <row r="259" spans="9:10">
      <c r="I259" s="78"/>
      <c r="J259" s="78"/>
    </row>
    <row r="260" spans="9:10">
      <c r="I260" s="78"/>
      <c r="J260" s="78"/>
    </row>
    <row r="261" spans="9:10">
      <c r="I261" s="78"/>
      <c r="J261" s="78"/>
    </row>
    <row r="262" spans="9:10">
      <c r="I262" s="78"/>
      <c r="J262" s="78"/>
    </row>
    <row r="263" spans="9:10">
      <c r="I263" s="78"/>
      <c r="J263" s="78"/>
    </row>
    <row r="264" spans="9:10">
      <c r="I264" s="78"/>
      <c r="J264" s="78"/>
    </row>
    <row r="265" spans="9:10">
      <c r="I265" s="78"/>
      <c r="J265" s="78"/>
    </row>
    <row r="266" spans="9:10">
      <c r="I266" s="78"/>
      <c r="J266" s="78"/>
    </row>
    <row r="267" spans="9:10">
      <c r="I267" s="78"/>
      <c r="J267" s="78"/>
    </row>
    <row r="268" spans="9:10">
      <c r="I268" s="78"/>
      <c r="J268" s="78"/>
    </row>
    <row r="269" spans="9:10">
      <c r="I269" s="78"/>
      <c r="J269" s="78"/>
    </row>
    <row r="270" spans="9:10">
      <c r="I270" s="78"/>
      <c r="J270" s="78"/>
    </row>
    <row r="271" spans="9:10">
      <c r="I271" s="78"/>
      <c r="J271" s="78"/>
    </row>
    <row r="272" spans="9:10">
      <c r="I272" s="78"/>
      <c r="J272" s="78"/>
    </row>
    <row r="273" spans="9:10">
      <c r="I273" s="78"/>
      <c r="J273" s="78"/>
    </row>
    <row r="274" spans="9:10">
      <c r="I274" s="78"/>
      <c r="J274" s="78"/>
    </row>
    <row r="275" spans="9:10">
      <c r="I275" s="78"/>
      <c r="J275" s="78"/>
    </row>
    <row r="276" spans="9:10">
      <c r="I276" s="78"/>
      <c r="J276" s="78"/>
    </row>
    <row r="277" spans="9:10">
      <c r="I277" s="78"/>
      <c r="J277" s="78"/>
    </row>
    <row r="278" spans="9:10">
      <c r="I278" s="78"/>
      <c r="J278" s="78"/>
    </row>
    <row r="279" spans="9:10">
      <c r="I279" s="78"/>
      <c r="J279" s="78"/>
    </row>
    <row r="280" spans="9:10">
      <c r="I280" s="78"/>
      <c r="J280" s="78"/>
    </row>
    <row r="281" spans="9:10">
      <c r="I281" s="78"/>
      <c r="J281" s="78"/>
    </row>
    <row r="282" spans="9:10">
      <c r="I282" s="78"/>
      <c r="J282" s="78"/>
    </row>
    <row r="283" spans="9:10">
      <c r="I283" s="78"/>
      <c r="J283" s="78"/>
    </row>
    <row r="284" spans="9:10">
      <c r="I284" s="78"/>
      <c r="J284" s="78"/>
    </row>
    <row r="285" spans="9:10">
      <c r="I285" s="78"/>
      <c r="J285" s="78"/>
    </row>
    <row r="286" spans="9:10">
      <c r="I286" s="78"/>
      <c r="J286" s="78"/>
    </row>
    <row r="287" spans="9:10">
      <c r="I287" s="78"/>
      <c r="J287" s="78"/>
    </row>
    <row r="288" spans="9:10">
      <c r="I288" s="78"/>
      <c r="J288" s="78"/>
    </row>
    <row r="289" spans="9:10">
      <c r="I289" s="78"/>
      <c r="J289" s="78"/>
    </row>
    <row r="290" spans="9:10">
      <c r="I290" s="78"/>
      <c r="J290" s="78"/>
    </row>
    <row r="291" spans="9:10">
      <c r="I291" s="78"/>
      <c r="J291" s="78"/>
    </row>
    <row r="292" spans="9:10">
      <c r="I292" s="78"/>
      <c r="J292" s="78"/>
    </row>
    <row r="293" spans="9:10">
      <c r="I293" s="78"/>
      <c r="J293" s="78"/>
    </row>
    <row r="294" spans="9:10">
      <c r="I294" s="78"/>
      <c r="J294" s="78"/>
    </row>
    <row r="295" spans="9:10">
      <c r="I295" s="78"/>
      <c r="J295" s="78"/>
    </row>
    <row r="296" spans="9:10">
      <c r="I296" s="78"/>
      <c r="J296" s="78"/>
    </row>
    <row r="297" spans="9:10">
      <c r="I297" s="78"/>
      <c r="J297" s="78"/>
    </row>
    <row r="298" spans="9:10">
      <c r="I298" s="78"/>
      <c r="J298" s="78"/>
    </row>
    <row r="299" spans="9:10">
      <c r="I299" s="78"/>
      <c r="J299" s="78"/>
    </row>
    <row r="300" spans="9:10">
      <c r="I300" s="78"/>
      <c r="J300" s="78"/>
    </row>
    <row r="301" spans="9:10">
      <c r="I301" s="78"/>
      <c r="J301" s="78"/>
    </row>
    <row r="302" spans="9:10">
      <c r="I302" s="78"/>
      <c r="J302" s="78"/>
    </row>
    <row r="303" spans="9:10">
      <c r="I303" s="78"/>
      <c r="J303" s="78"/>
    </row>
    <row r="304" spans="9:10">
      <c r="I304" s="78"/>
      <c r="J304" s="78"/>
    </row>
    <row r="305" spans="9:10">
      <c r="I305" s="78"/>
      <c r="J305" s="78"/>
    </row>
    <row r="306" spans="9:10">
      <c r="I306" s="78"/>
      <c r="J306" s="78"/>
    </row>
    <row r="307" spans="9:10">
      <c r="I307" s="78"/>
      <c r="J307" s="78"/>
    </row>
    <row r="308" spans="9:10">
      <c r="I308" s="78"/>
      <c r="J308" s="78"/>
    </row>
    <row r="309" spans="9:10">
      <c r="I309" s="78"/>
      <c r="J309" s="78"/>
    </row>
    <row r="310" spans="9:10">
      <c r="I310" s="78"/>
      <c r="J310" s="78"/>
    </row>
    <row r="311" spans="9:10">
      <c r="I311" s="78"/>
      <c r="J311" s="78"/>
    </row>
    <row r="312" spans="9:10">
      <c r="I312" s="78"/>
      <c r="J312" s="78"/>
    </row>
    <row r="313" spans="9:10">
      <c r="I313" s="78"/>
      <c r="J313" s="78"/>
    </row>
    <row r="314" spans="9:10">
      <c r="I314" s="78"/>
      <c r="J314" s="78"/>
    </row>
    <row r="315" spans="9:10">
      <c r="I315" s="78"/>
      <c r="J315" s="78"/>
    </row>
    <row r="316" spans="9:10">
      <c r="I316" s="78"/>
      <c r="J316" s="78"/>
    </row>
    <row r="317" spans="9:10">
      <c r="I317" s="78"/>
      <c r="J317" s="78"/>
    </row>
    <row r="318" spans="9:10">
      <c r="I318" s="78"/>
      <c r="J318" s="78"/>
    </row>
    <row r="319" spans="9:10">
      <c r="I319" s="78"/>
      <c r="J319" s="78"/>
    </row>
    <row r="320" spans="9:10">
      <c r="I320" s="78"/>
      <c r="J320" s="78"/>
    </row>
    <row r="321" spans="9:10">
      <c r="I321" s="78"/>
      <c r="J321" s="78"/>
    </row>
    <row r="322" spans="9:10">
      <c r="I322" s="78"/>
      <c r="J322" s="78"/>
    </row>
    <row r="323" spans="9:10">
      <c r="I323" s="78"/>
      <c r="J323" s="78"/>
    </row>
    <row r="324" spans="9:10">
      <c r="I324" s="78"/>
      <c r="J324" s="78"/>
    </row>
    <row r="325" spans="9:10">
      <c r="I325" s="78"/>
      <c r="J325" s="78"/>
    </row>
    <row r="326" spans="9:10">
      <c r="I326" s="78"/>
      <c r="J326" s="78"/>
    </row>
    <row r="327" spans="9:10">
      <c r="I327" s="78"/>
      <c r="J327" s="78"/>
    </row>
    <row r="328" spans="9:10">
      <c r="I328" s="78"/>
      <c r="J328" s="78"/>
    </row>
    <row r="329" spans="9:10">
      <c r="I329" s="78"/>
      <c r="J329" s="78"/>
    </row>
    <row r="330" spans="9:10">
      <c r="I330" s="78"/>
      <c r="J330" s="78"/>
    </row>
    <row r="331" spans="9:10">
      <c r="I331" s="78"/>
      <c r="J331" s="78"/>
    </row>
    <row r="332" spans="9:10">
      <c r="I332" s="78"/>
      <c r="J332" s="78"/>
    </row>
    <row r="333" spans="9:10">
      <c r="I333" s="78"/>
      <c r="J333" s="78"/>
    </row>
    <row r="334" spans="9:10">
      <c r="I334" s="78"/>
      <c r="J334" s="78"/>
    </row>
    <row r="335" spans="9:10">
      <c r="I335" s="78"/>
      <c r="J335" s="78"/>
    </row>
    <row r="336" spans="9:10">
      <c r="I336" s="78"/>
      <c r="J336" s="78"/>
    </row>
    <row r="337" spans="9:10">
      <c r="I337" s="78"/>
      <c r="J337" s="78"/>
    </row>
    <row r="338" spans="9:10">
      <c r="I338" s="78"/>
      <c r="J338" s="78"/>
    </row>
    <row r="339" spans="9:10">
      <c r="I339" s="78"/>
      <c r="J339" s="78"/>
    </row>
    <row r="340" spans="9:10">
      <c r="I340" s="78"/>
      <c r="J340" s="78"/>
    </row>
    <row r="341" spans="9:10">
      <c r="I341" s="78"/>
      <c r="J341" s="78"/>
    </row>
    <row r="342" spans="9:10">
      <c r="I342" s="78"/>
      <c r="J342" s="78"/>
    </row>
    <row r="343" spans="9:10">
      <c r="I343" s="78"/>
      <c r="J343" s="78"/>
    </row>
    <row r="344" spans="9:10">
      <c r="I344" s="78"/>
      <c r="J344" s="78"/>
    </row>
    <row r="345" spans="9:10">
      <c r="I345" s="78"/>
      <c r="J345" s="78"/>
    </row>
    <row r="346" spans="9:10">
      <c r="I346" s="78"/>
      <c r="J346" s="78"/>
    </row>
    <row r="347" spans="9:10">
      <c r="I347" s="78"/>
      <c r="J347" s="78"/>
    </row>
    <row r="348" spans="9:10">
      <c r="I348" s="78"/>
      <c r="J348" s="78"/>
    </row>
    <row r="349" spans="9:10">
      <c r="I349" s="78"/>
      <c r="J349" s="78"/>
    </row>
    <row r="350" spans="9:10">
      <c r="I350" s="78"/>
      <c r="J350" s="78"/>
    </row>
    <row r="351" spans="9:10">
      <c r="I351" s="78"/>
      <c r="J351" s="78"/>
    </row>
    <row r="352" spans="9:10">
      <c r="I352" s="78"/>
      <c r="J352" s="78"/>
    </row>
    <row r="353" spans="9:10">
      <c r="I353" s="78"/>
      <c r="J353" s="78"/>
    </row>
    <row r="354" spans="9:10">
      <c r="I354" s="78"/>
      <c r="J354" s="78"/>
    </row>
    <row r="355" spans="9:10">
      <c r="I355" s="78"/>
      <c r="J355" s="78"/>
    </row>
    <row r="356" spans="9:10">
      <c r="I356" s="78"/>
      <c r="J356" s="78"/>
    </row>
    <row r="357" spans="9:10">
      <c r="I357" s="78"/>
      <c r="J357" s="78"/>
    </row>
    <row r="358" spans="9:10">
      <c r="I358" s="78"/>
      <c r="J358" s="78"/>
    </row>
    <row r="359" spans="9:10">
      <c r="I359" s="78"/>
      <c r="J359" s="78"/>
    </row>
    <row r="360" spans="9:10">
      <c r="I360" s="78"/>
      <c r="J360" s="78"/>
    </row>
    <row r="361" spans="9:10">
      <c r="I361" s="78"/>
      <c r="J361" s="78"/>
    </row>
    <row r="362" spans="9:10">
      <c r="I362" s="78"/>
      <c r="J362" s="78"/>
    </row>
    <row r="363" spans="9:10">
      <c r="I363" s="78"/>
      <c r="J363" s="78"/>
    </row>
    <row r="364" spans="9:10">
      <c r="I364" s="78"/>
      <c r="J364" s="78"/>
    </row>
    <row r="365" spans="9:10">
      <c r="I365" s="78"/>
      <c r="J365" s="78"/>
    </row>
    <row r="366" spans="9:10">
      <c r="I366" s="78"/>
      <c r="J366" s="78"/>
    </row>
    <row r="367" spans="9:10">
      <c r="I367" s="78"/>
      <c r="J367" s="78"/>
    </row>
    <row r="368" spans="9:10">
      <c r="I368" s="78"/>
      <c r="J368" s="78"/>
    </row>
    <row r="369" spans="9:10">
      <c r="I369" s="78"/>
      <c r="J369" s="78"/>
    </row>
    <row r="370" spans="9:10">
      <c r="I370" s="78"/>
      <c r="J370" s="78"/>
    </row>
    <row r="371" spans="9:10">
      <c r="I371" s="78"/>
      <c r="J371" s="78"/>
    </row>
    <row r="372" spans="9:10">
      <c r="I372" s="78"/>
      <c r="J372" s="78"/>
    </row>
    <row r="373" spans="9:10">
      <c r="I373" s="78"/>
      <c r="J373" s="78"/>
    </row>
    <row r="374" spans="9:10">
      <c r="I374" s="78"/>
      <c r="J374" s="78"/>
    </row>
    <row r="375" spans="9:10">
      <c r="I375" s="78"/>
      <c r="J375" s="78"/>
    </row>
    <row r="376" spans="9:10">
      <c r="I376" s="78"/>
      <c r="J376" s="78"/>
    </row>
    <row r="377" spans="9:10">
      <c r="I377" s="78"/>
      <c r="J377" s="78"/>
    </row>
    <row r="378" spans="9:10">
      <c r="I378" s="78"/>
      <c r="J378" s="78"/>
    </row>
    <row r="379" spans="9:10">
      <c r="I379" s="78"/>
      <c r="J379" s="78"/>
    </row>
    <row r="380" spans="9:10">
      <c r="I380" s="78"/>
      <c r="J380" s="78"/>
    </row>
    <row r="381" spans="9:10">
      <c r="I381" s="78"/>
      <c r="J381" s="78"/>
    </row>
    <row r="382" spans="9:10">
      <c r="I382" s="78"/>
      <c r="J382" s="78"/>
    </row>
    <row r="383" spans="9:10">
      <c r="I383" s="78"/>
      <c r="J383" s="78"/>
    </row>
    <row r="384" spans="9:10">
      <c r="I384" s="78"/>
      <c r="J384" s="78"/>
    </row>
    <row r="385" spans="9:10">
      <c r="I385" s="78"/>
      <c r="J385" s="78"/>
    </row>
    <row r="386" spans="9:10">
      <c r="I386" s="78"/>
      <c r="J386" s="78"/>
    </row>
    <row r="387" spans="9:10">
      <c r="I387" s="78"/>
      <c r="J387" s="78"/>
    </row>
    <row r="388" spans="9:10">
      <c r="I388" s="78"/>
      <c r="J388" s="78"/>
    </row>
    <row r="389" spans="9:10">
      <c r="I389" s="78"/>
      <c r="J389" s="78"/>
    </row>
    <row r="390" spans="9:10">
      <c r="I390" s="78"/>
      <c r="J390" s="78"/>
    </row>
    <row r="391" spans="9:10">
      <c r="I391" s="78"/>
      <c r="J391" s="78"/>
    </row>
    <row r="392" spans="9:10">
      <c r="I392" s="78"/>
      <c r="J392" s="78"/>
    </row>
    <row r="393" spans="9:10">
      <c r="I393" s="78"/>
      <c r="J393" s="78"/>
    </row>
    <row r="394" spans="9:10">
      <c r="I394" s="78"/>
      <c r="J394" s="78"/>
    </row>
    <row r="395" spans="9:10">
      <c r="I395" s="78"/>
      <c r="J395" s="78"/>
    </row>
    <row r="396" spans="9:10">
      <c r="I396" s="78"/>
      <c r="J396" s="78"/>
    </row>
    <row r="397" spans="9:10">
      <c r="I397" s="78"/>
      <c r="J397" s="78"/>
    </row>
    <row r="398" spans="9:10">
      <c r="I398" s="78"/>
      <c r="J398" s="78"/>
    </row>
    <row r="399" spans="9:10">
      <c r="I399" s="78"/>
      <c r="J399" s="78"/>
    </row>
    <row r="400" spans="9:10">
      <c r="I400" s="78"/>
      <c r="J400" s="78"/>
    </row>
    <row r="401" spans="9:10">
      <c r="I401" s="78"/>
      <c r="J401" s="78"/>
    </row>
    <row r="402" spans="9:10">
      <c r="I402" s="78"/>
      <c r="J402" s="78"/>
    </row>
    <row r="403" spans="9:10">
      <c r="I403" s="78"/>
      <c r="J403" s="78"/>
    </row>
    <row r="404" spans="9:10">
      <c r="I404" s="78"/>
      <c r="J404" s="78"/>
    </row>
    <row r="405" spans="9:10">
      <c r="I405" s="78"/>
      <c r="J405" s="78"/>
    </row>
    <row r="406" spans="9:10">
      <c r="I406" s="78"/>
      <c r="J406" s="78"/>
    </row>
    <row r="407" spans="9:10">
      <c r="I407" s="78"/>
      <c r="J407" s="78"/>
    </row>
    <row r="408" spans="9:10">
      <c r="I408" s="78"/>
      <c r="J408" s="78"/>
    </row>
    <row r="409" spans="9:10">
      <c r="I409" s="78"/>
      <c r="J409" s="78"/>
    </row>
    <row r="410" spans="9:10">
      <c r="I410" s="78"/>
      <c r="J410" s="78"/>
    </row>
    <row r="411" spans="9:10">
      <c r="I411" s="78"/>
      <c r="J411" s="78"/>
    </row>
    <row r="412" spans="9:10">
      <c r="I412" s="78"/>
      <c r="J412" s="78"/>
    </row>
    <row r="413" spans="9:10">
      <c r="I413" s="78"/>
      <c r="J413" s="78"/>
    </row>
    <row r="414" spans="9:10">
      <c r="I414" s="78"/>
      <c r="J414" s="78"/>
    </row>
    <row r="415" spans="9:10">
      <c r="I415" s="78"/>
      <c r="J415" s="78"/>
    </row>
    <row r="416" spans="9:10">
      <c r="I416" s="78"/>
      <c r="J416" s="78"/>
    </row>
    <row r="417" spans="9:10">
      <c r="I417" s="78"/>
      <c r="J417" s="78"/>
    </row>
    <row r="418" spans="9:10">
      <c r="I418" s="78"/>
      <c r="J418" s="78"/>
    </row>
    <row r="419" spans="9:10">
      <c r="I419" s="78"/>
      <c r="J419" s="78"/>
    </row>
    <row r="420" spans="9:10">
      <c r="I420" s="78"/>
      <c r="J420" s="78"/>
    </row>
    <row r="421" spans="9:10">
      <c r="I421" s="78"/>
      <c r="J421" s="78"/>
    </row>
    <row r="422" spans="9:10">
      <c r="I422" s="78"/>
      <c r="J422" s="78"/>
    </row>
    <row r="423" spans="9:10">
      <c r="I423" s="78"/>
      <c r="J423" s="78"/>
    </row>
    <row r="424" spans="9:10">
      <c r="I424" s="78"/>
      <c r="J424" s="78"/>
    </row>
    <row r="425" spans="9:10">
      <c r="I425" s="78"/>
      <c r="J425" s="78"/>
    </row>
    <row r="426" spans="9:10">
      <c r="I426" s="78"/>
      <c r="J426" s="78"/>
    </row>
    <row r="427" spans="9:10">
      <c r="I427" s="78"/>
      <c r="J427" s="78"/>
    </row>
    <row r="428" spans="9:10">
      <c r="I428" s="78"/>
      <c r="J428" s="78"/>
    </row>
    <row r="429" spans="9:10">
      <c r="I429" s="78"/>
      <c r="J429" s="78"/>
    </row>
    <row r="430" spans="9:10">
      <c r="I430" s="78"/>
      <c r="J430" s="78"/>
    </row>
    <row r="431" spans="9:10">
      <c r="I431" s="78"/>
      <c r="J431" s="78"/>
    </row>
    <row r="432" spans="9:10">
      <c r="I432" s="78"/>
      <c r="J432" s="78"/>
    </row>
    <row r="433" spans="9:10">
      <c r="I433" s="78"/>
      <c r="J433" s="78"/>
    </row>
    <row r="434" spans="9:10">
      <c r="I434" s="78"/>
      <c r="J434" s="78"/>
    </row>
    <row r="435" spans="9:10">
      <c r="I435" s="78"/>
      <c r="J435" s="78"/>
    </row>
    <row r="436" spans="9:10">
      <c r="I436" s="78"/>
      <c r="J436" s="78"/>
    </row>
    <row r="437" spans="9:10">
      <c r="I437" s="78"/>
      <c r="J437" s="78"/>
    </row>
    <row r="438" spans="9:10">
      <c r="I438" s="78"/>
      <c r="J438" s="78"/>
    </row>
    <row r="439" spans="9:10">
      <c r="I439" s="78"/>
      <c r="J439" s="78"/>
    </row>
    <row r="440" spans="9:10">
      <c r="I440" s="78"/>
      <c r="J440" s="78"/>
    </row>
    <row r="441" spans="9:10">
      <c r="I441" s="78"/>
      <c r="J441" s="78"/>
    </row>
    <row r="442" spans="9:10">
      <c r="I442" s="78"/>
      <c r="J442" s="78"/>
    </row>
    <row r="443" spans="9:10">
      <c r="I443" s="78"/>
      <c r="J443" s="78"/>
    </row>
    <row r="444" spans="9:10">
      <c r="I444" s="78"/>
      <c r="J444" s="78"/>
    </row>
    <row r="445" spans="9:10">
      <c r="I445" s="78"/>
      <c r="J445" s="78"/>
    </row>
    <row r="446" spans="9:10">
      <c r="I446" s="78"/>
      <c r="J446" s="78"/>
    </row>
    <row r="447" spans="9:10">
      <c r="I447" s="78"/>
      <c r="J447" s="78"/>
    </row>
    <row r="448" spans="9:10">
      <c r="I448" s="78"/>
      <c r="J448" s="78"/>
    </row>
    <row r="449" spans="9:10">
      <c r="I449" s="78"/>
      <c r="J449" s="78"/>
    </row>
    <row r="450" spans="9:10">
      <c r="I450" s="78"/>
      <c r="J450" s="78"/>
    </row>
    <row r="451" spans="9:10">
      <c r="I451" s="78"/>
      <c r="J451" s="78"/>
    </row>
    <row r="452" spans="9:10">
      <c r="I452" s="78"/>
      <c r="J452" s="78"/>
    </row>
    <row r="453" spans="9:10">
      <c r="I453" s="78"/>
      <c r="J453" s="78"/>
    </row>
    <row r="454" spans="9:10">
      <c r="I454" s="78"/>
      <c r="J454" s="78"/>
    </row>
    <row r="455" spans="9:10">
      <c r="I455" s="78"/>
      <c r="J455" s="78"/>
    </row>
    <row r="456" spans="9:10">
      <c r="I456" s="78"/>
      <c r="J456" s="78"/>
    </row>
    <row r="457" spans="9:10">
      <c r="I457" s="78"/>
      <c r="J457" s="78"/>
    </row>
    <row r="458" spans="9:10">
      <c r="I458" s="78"/>
      <c r="J458" s="78"/>
    </row>
    <row r="459" spans="9:10">
      <c r="I459" s="78"/>
      <c r="J459" s="78"/>
    </row>
    <row r="460" spans="9:10">
      <c r="I460" s="78"/>
      <c r="J460" s="78"/>
    </row>
    <row r="461" spans="9:10">
      <c r="I461" s="78"/>
      <c r="J461" s="78"/>
    </row>
    <row r="462" spans="9:10">
      <c r="I462" s="78"/>
      <c r="J462" s="78"/>
    </row>
    <row r="463" spans="9:10">
      <c r="I463" s="78"/>
      <c r="J463" s="78"/>
    </row>
    <row r="464" spans="9:10">
      <c r="I464" s="78"/>
      <c r="J464" s="78"/>
    </row>
    <row r="465" spans="9:10">
      <c r="I465" s="78"/>
      <c r="J465" s="78"/>
    </row>
    <row r="466" spans="9:10">
      <c r="I466" s="78"/>
      <c r="J466" s="78"/>
    </row>
    <row r="467" spans="9:10">
      <c r="I467" s="78"/>
      <c r="J467" s="78"/>
    </row>
    <row r="468" spans="9:10">
      <c r="I468" s="78"/>
      <c r="J468" s="78"/>
    </row>
    <row r="469" spans="9:10">
      <c r="I469" s="78"/>
      <c r="J469" s="78"/>
    </row>
    <row r="470" spans="9:10">
      <c r="I470" s="78"/>
      <c r="J470" s="78"/>
    </row>
    <row r="471" spans="9:10">
      <c r="I471" s="78"/>
      <c r="J471" s="78"/>
    </row>
    <row r="472" spans="9:10">
      <c r="I472" s="78"/>
      <c r="J472" s="78"/>
    </row>
    <row r="473" spans="9:10">
      <c r="I473" s="78"/>
      <c r="J473" s="78"/>
    </row>
    <row r="474" spans="9:10">
      <c r="I474" s="78"/>
      <c r="J474" s="78"/>
    </row>
    <row r="475" spans="9:10">
      <c r="I475" s="78"/>
      <c r="J475" s="78"/>
    </row>
    <row r="476" spans="9:10">
      <c r="I476" s="78"/>
      <c r="J476" s="78"/>
    </row>
    <row r="477" spans="9:10">
      <c r="I477" s="78"/>
      <c r="J477" s="78"/>
    </row>
    <row r="478" spans="9:10">
      <c r="I478" s="78"/>
      <c r="J478" s="78"/>
    </row>
    <row r="479" spans="9:10">
      <c r="I479" s="78"/>
      <c r="J479" s="78"/>
    </row>
    <row r="480" spans="9:10">
      <c r="I480" s="78"/>
      <c r="J480" s="78"/>
    </row>
    <row r="481" spans="9:10">
      <c r="I481" s="78"/>
      <c r="J481" s="78"/>
    </row>
    <row r="482" spans="9:10">
      <c r="I482" s="78"/>
      <c r="J482" s="78"/>
    </row>
    <row r="483" spans="9:10">
      <c r="I483" s="78"/>
      <c r="J483" s="78"/>
    </row>
    <row r="484" spans="9:10">
      <c r="I484" s="78"/>
      <c r="J484" s="78"/>
    </row>
    <row r="485" spans="9:10">
      <c r="I485" s="78"/>
      <c r="J485" s="78"/>
    </row>
    <row r="486" spans="9:10">
      <c r="I486" s="78"/>
      <c r="J486" s="78"/>
    </row>
    <row r="487" spans="9:10">
      <c r="I487" s="78"/>
      <c r="J487" s="78"/>
    </row>
    <row r="488" spans="9:10">
      <c r="I488" s="78"/>
      <c r="J488" s="78"/>
    </row>
    <row r="489" spans="9:10">
      <c r="I489" s="78"/>
      <c r="J489" s="78"/>
    </row>
    <row r="490" spans="9:10">
      <c r="I490" s="78"/>
      <c r="J490" s="78"/>
    </row>
    <row r="491" spans="9:10">
      <c r="I491" s="78"/>
      <c r="J491" s="78"/>
    </row>
    <row r="492" spans="9:10">
      <c r="I492" s="78"/>
      <c r="J492" s="78"/>
    </row>
    <row r="493" spans="9:10">
      <c r="I493" s="78"/>
      <c r="J493" s="78"/>
    </row>
    <row r="494" spans="9:10">
      <c r="I494" s="78"/>
      <c r="J494" s="78"/>
    </row>
    <row r="495" spans="9:10">
      <c r="I495" s="78"/>
      <c r="J495" s="78"/>
    </row>
    <row r="496" spans="9:10">
      <c r="I496" s="78"/>
      <c r="J496" s="78"/>
    </row>
    <row r="497" spans="9:10">
      <c r="I497" s="78"/>
      <c r="J497" s="78"/>
    </row>
    <row r="498" spans="9:10">
      <c r="I498" s="78"/>
      <c r="J498" s="78"/>
    </row>
    <row r="499" spans="9:10">
      <c r="I499" s="78"/>
      <c r="J499" s="78"/>
    </row>
    <row r="500" spans="9:10">
      <c r="I500" s="78"/>
      <c r="J500" s="78"/>
    </row>
    <row r="501" spans="9:10">
      <c r="I501" s="78"/>
      <c r="J501" s="78"/>
    </row>
    <row r="502" spans="9:10">
      <c r="I502" s="78"/>
      <c r="J502" s="78"/>
    </row>
    <row r="503" spans="9:10">
      <c r="I503" s="78"/>
      <c r="J503" s="78"/>
    </row>
    <row r="504" spans="9:10">
      <c r="I504" s="78"/>
      <c r="J504" s="78"/>
    </row>
    <row r="505" spans="9:10">
      <c r="I505" s="78"/>
      <c r="J505" s="78"/>
    </row>
    <row r="506" spans="9:10">
      <c r="I506" s="78"/>
      <c r="J506" s="78"/>
    </row>
    <row r="507" spans="9:10">
      <c r="I507" s="78"/>
      <c r="J507" s="78"/>
    </row>
    <row r="508" spans="9:10">
      <c r="I508" s="78"/>
      <c r="J508" s="78"/>
    </row>
    <row r="509" spans="9:10">
      <c r="I509" s="78"/>
      <c r="J509" s="78"/>
    </row>
    <row r="510" spans="9:10">
      <c r="I510" s="78"/>
      <c r="J510" s="78"/>
    </row>
    <row r="511" spans="9:10">
      <c r="I511" s="78"/>
      <c r="J511" s="78"/>
    </row>
    <row r="512" spans="9:10">
      <c r="I512" s="78"/>
      <c r="J512" s="78"/>
    </row>
    <row r="513" spans="9:10">
      <c r="I513" s="78"/>
      <c r="J513" s="78"/>
    </row>
    <row r="514" spans="9:10">
      <c r="I514" s="78"/>
      <c r="J514" s="78"/>
    </row>
    <row r="515" spans="9:10">
      <c r="I515" s="78"/>
      <c r="J515" s="78"/>
    </row>
    <row r="516" spans="9:10">
      <c r="I516" s="78"/>
      <c r="J516" s="78"/>
    </row>
    <row r="517" spans="9:10">
      <c r="I517" s="78"/>
      <c r="J517" s="78"/>
    </row>
    <row r="518" spans="9:10">
      <c r="I518" s="78"/>
      <c r="J518" s="78"/>
    </row>
    <row r="519" spans="9:10">
      <c r="I519" s="78"/>
      <c r="J519" s="78"/>
    </row>
    <row r="520" spans="9:10">
      <c r="I520" s="78"/>
      <c r="J520" s="78"/>
    </row>
    <row r="521" spans="9:10">
      <c r="I521" s="78"/>
      <c r="J521" s="78"/>
    </row>
    <row r="522" spans="9:10">
      <c r="I522" s="78"/>
      <c r="J522" s="78"/>
    </row>
    <row r="523" spans="9:10">
      <c r="I523" s="78"/>
      <c r="J523" s="78"/>
    </row>
    <row r="524" spans="9:10">
      <c r="I524" s="78"/>
      <c r="J524" s="78"/>
    </row>
    <row r="525" spans="9:10">
      <c r="I525" s="78"/>
      <c r="J525" s="78"/>
    </row>
    <row r="526" spans="9:10">
      <c r="I526" s="78"/>
      <c r="J526" s="78"/>
    </row>
    <row r="527" spans="9:10">
      <c r="I527" s="78"/>
      <c r="J527" s="78"/>
    </row>
    <row r="528" spans="9:10">
      <c r="I528" s="78"/>
      <c r="J528" s="78"/>
    </row>
    <row r="529" spans="9:10">
      <c r="I529" s="78"/>
      <c r="J529" s="78"/>
    </row>
    <row r="530" spans="9:10">
      <c r="I530" s="78"/>
      <c r="J530" s="78"/>
    </row>
    <row r="531" spans="9:10">
      <c r="I531" s="78"/>
      <c r="J531" s="78"/>
    </row>
    <row r="532" spans="9:10">
      <c r="I532" s="78"/>
      <c r="J532" s="78"/>
    </row>
    <row r="533" spans="9:10">
      <c r="I533" s="78"/>
      <c r="J533" s="78"/>
    </row>
    <row r="534" spans="9:10">
      <c r="I534" s="78"/>
      <c r="J534" s="78"/>
    </row>
    <row r="535" spans="9:10">
      <c r="I535" s="78"/>
      <c r="J535" s="78"/>
    </row>
    <row r="536" spans="9:10">
      <c r="I536" s="78"/>
      <c r="J536" s="78"/>
    </row>
    <row r="537" spans="9:10">
      <c r="I537" s="78"/>
      <c r="J537" s="78"/>
    </row>
    <row r="538" spans="9:10">
      <c r="I538" s="78"/>
      <c r="J538" s="78"/>
    </row>
    <row r="539" spans="9:10">
      <c r="I539" s="78"/>
      <c r="J539" s="78"/>
    </row>
    <row r="540" spans="9:10">
      <c r="I540" s="78"/>
      <c r="J540" s="78"/>
    </row>
    <row r="541" spans="9:10">
      <c r="I541" s="78"/>
      <c r="J541" s="78"/>
    </row>
    <row r="542" spans="9:10">
      <c r="I542" s="78"/>
      <c r="J542" s="78"/>
    </row>
    <row r="543" spans="9:10">
      <c r="I543" s="78"/>
      <c r="J543" s="78"/>
    </row>
    <row r="544" spans="9:10">
      <c r="I544" s="78"/>
      <c r="J544" s="78"/>
    </row>
    <row r="545" spans="9:10">
      <c r="I545" s="78"/>
      <c r="J545" s="78"/>
    </row>
    <row r="546" spans="9:10">
      <c r="I546" s="78"/>
      <c r="J546" s="78"/>
    </row>
    <row r="547" spans="9:10">
      <c r="I547" s="78"/>
      <c r="J547" s="78"/>
    </row>
    <row r="548" spans="9:10">
      <c r="I548" s="78"/>
      <c r="J548" s="78"/>
    </row>
    <row r="549" spans="9:10">
      <c r="I549" s="78"/>
      <c r="J549" s="78"/>
    </row>
    <row r="550" spans="9:10">
      <c r="I550" s="78"/>
      <c r="J550" s="78"/>
    </row>
    <row r="551" spans="9:10">
      <c r="I551" s="78"/>
      <c r="J551" s="78"/>
    </row>
    <row r="552" spans="9:10">
      <c r="I552" s="78"/>
      <c r="J552" s="78"/>
    </row>
    <row r="553" spans="9:10">
      <c r="I553" s="78"/>
      <c r="J553" s="78"/>
    </row>
    <row r="554" spans="9:10">
      <c r="I554" s="78"/>
      <c r="J554" s="78"/>
    </row>
    <row r="555" spans="9:10">
      <c r="I555" s="78"/>
      <c r="J555" s="78"/>
    </row>
    <row r="556" spans="9:10">
      <c r="I556" s="78"/>
      <c r="J556" s="78"/>
    </row>
    <row r="557" spans="9:10">
      <c r="I557" s="78"/>
      <c r="J557" s="78"/>
    </row>
    <row r="558" spans="9:10">
      <c r="I558" s="78"/>
      <c r="J558" s="78"/>
    </row>
    <row r="559" spans="9:10">
      <c r="I559" s="78"/>
      <c r="J559" s="78"/>
    </row>
    <row r="560" spans="9:10">
      <c r="I560" s="78"/>
      <c r="J560" s="78"/>
    </row>
    <row r="561" spans="9:10">
      <c r="I561" s="78"/>
      <c r="J561" s="78"/>
    </row>
    <row r="562" spans="9:10">
      <c r="I562" s="78"/>
      <c r="J562" s="78"/>
    </row>
    <row r="563" spans="9:10">
      <c r="I563" s="78"/>
      <c r="J563" s="78"/>
    </row>
    <row r="564" spans="9:10">
      <c r="I564" s="78"/>
      <c r="J564" s="78"/>
    </row>
    <row r="565" spans="9:10">
      <c r="I565" s="78"/>
      <c r="J565" s="78"/>
    </row>
    <row r="566" spans="9:10">
      <c r="I566" s="78"/>
      <c r="J566" s="78"/>
    </row>
    <row r="567" spans="9:10">
      <c r="I567" s="78"/>
      <c r="J567" s="78"/>
    </row>
    <row r="568" spans="9:10">
      <c r="I568" s="78"/>
      <c r="J568" s="78"/>
    </row>
    <row r="569" spans="9:10">
      <c r="I569" s="78"/>
      <c r="J569" s="78"/>
    </row>
    <row r="570" spans="9:10">
      <c r="I570" s="78"/>
      <c r="J570" s="78"/>
    </row>
    <row r="571" spans="9:10">
      <c r="I571" s="78"/>
      <c r="J571" s="78"/>
    </row>
    <row r="572" spans="9:10">
      <c r="I572" s="78"/>
      <c r="J572" s="78"/>
    </row>
    <row r="573" spans="9:10">
      <c r="I573" s="78"/>
      <c r="J573" s="78"/>
    </row>
    <row r="574" spans="9:10">
      <c r="I574" s="78"/>
      <c r="J574" s="78"/>
    </row>
    <row r="575" spans="9:10">
      <c r="I575" s="78"/>
      <c r="J575" s="78"/>
    </row>
    <row r="576" spans="9:10">
      <c r="I576" s="78"/>
      <c r="J576" s="78"/>
    </row>
    <row r="577" spans="9:10">
      <c r="I577" s="78"/>
      <c r="J577" s="78"/>
    </row>
    <row r="578" spans="9:10">
      <c r="I578" s="78"/>
      <c r="J578" s="78"/>
    </row>
    <row r="579" spans="9:10">
      <c r="I579" s="78"/>
      <c r="J579" s="78"/>
    </row>
    <row r="580" spans="9:10">
      <c r="I580" s="78"/>
      <c r="J580" s="78"/>
    </row>
    <row r="581" spans="9:10">
      <c r="I581" s="78"/>
      <c r="J581" s="78"/>
    </row>
    <row r="582" spans="9:10">
      <c r="I582" s="78"/>
      <c r="J582" s="78"/>
    </row>
    <row r="583" spans="9:10">
      <c r="I583" s="78"/>
      <c r="J583" s="78"/>
    </row>
    <row r="584" spans="9:10">
      <c r="I584" s="78"/>
      <c r="J584" s="78"/>
    </row>
    <row r="585" spans="9:10">
      <c r="I585" s="78"/>
      <c r="J585" s="78"/>
    </row>
    <row r="586" spans="9:10">
      <c r="I586" s="78"/>
      <c r="J586" s="78"/>
    </row>
    <row r="587" spans="9:10">
      <c r="I587" s="78"/>
      <c r="J587" s="78"/>
    </row>
    <row r="588" spans="9:10">
      <c r="I588" s="78"/>
      <c r="J588" s="78"/>
    </row>
    <row r="589" spans="9:10">
      <c r="I589" s="78"/>
      <c r="J589" s="78"/>
    </row>
    <row r="590" spans="9:10">
      <c r="I590" s="78"/>
      <c r="J590" s="78"/>
    </row>
    <row r="591" spans="9:10">
      <c r="I591" s="78"/>
      <c r="J591" s="78"/>
    </row>
    <row r="592" spans="9:10">
      <c r="I592" s="78"/>
      <c r="J592" s="78"/>
    </row>
    <row r="593" spans="9:10">
      <c r="I593" s="78"/>
      <c r="J593" s="78"/>
    </row>
    <row r="594" spans="9:10">
      <c r="I594" s="78"/>
      <c r="J594" s="78"/>
    </row>
    <row r="595" spans="9:10">
      <c r="I595" s="78"/>
      <c r="J595" s="78"/>
    </row>
    <row r="596" spans="9:10">
      <c r="I596" s="78"/>
      <c r="J596" s="78"/>
    </row>
    <row r="597" spans="9:10">
      <c r="I597" s="78"/>
      <c r="J597" s="78"/>
    </row>
    <row r="598" spans="9:10">
      <c r="I598" s="78"/>
      <c r="J598" s="78"/>
    </row>
    <row r="599" spans="9:10">
      <c r="I599" s="78"/>
      <c r="J599" s="78"/>
    </row>
    <row r="600" spans="9:10">
      <c r="I600" s="78"/>
      <c r="J600" s="78"/>
    </row>
    <row r="601" spans="9:10">
      <c r="I601" s="78"/>
      <c r="J601" s="78"/>
    </row>
    <row r="602" spans="9:10">
      <c r="I602" s="78"/>
      <c r="J602" s="78"/>
    </row>
    <row r="603" spans="9:10">
      <c r="I603" s="78"/>
      <c r="J603" s="78"/>
    </row>
    <row r="604" spans="9:10">
      <c r="I604" s="78"/>
      <c r="J604" s="78"/>
    </row>
    <row r="605" spans="9:10">
      <c r="I605" s="78"/>
      <c r="J605" s="78"/>
    </row>
    <row r="606" spans="9:10">
      <c r="I606" s="78"/>
      <c r="J606" s="78"/>
    </row>
    <row r="607" spans="9:10">
      <c r="I607" s="78"/>
      <c r="J607" s="78"/>
    </row>
    <row r="608" spans="9:10">
      <c r="I608" s="78"/>
      <c r="J608" s="78"/>
    </row>
    <row r="609" spans="9:10">
      <c r="I609" s="78"/>
      <c r="J609" s="78"/>
    </row>
    <row r="610" spans="9:10">
      <c r="I610" s="78"/>
      <c r="J610" s="78"/>
    </row>
    <row r="611" spans="9:10">
      <c r="I611" s="78"/>
      <c r="J611" s="78"/>
    </row>
    <row r="612" spans="9:10">
      <c r="I612" s="78"/>
      <c r="J612" s="78"/>
    </row>
    <row r="613" spans="9:10">
      <c r="I613" s="78"/>
      <c r="J613" s="78"/>
    </row>
    <row r="614" spans="9:10">
      <c r="I614" s="78"/>
      <c r="J614" s="78"/>
    </row>
    <row r="615" spans="9:10">
      <c r="I615" s="78"/>
      <c r="J615" s="78"/>
    </row>
    <row r="616" spans="9:10">
      <c r="I616" s="78"/>
      <c r="J616" s="78"/>
    </row>
    <row r="617" spans="9:10">
      <c r="I617" s="78"/>
      <c r="J617" s="78"/>
    </row>
    <row r="618" spans="9:10">
      <c r="I618" s="78"/>
      <c r="J618" s="78"/>
    </row>
    <row r="619" spans="9:10">
      <c r="I619" s="78"/>
      <c r="J619" s="78"/>
    </row>
    <row r="620" spans="9:10">
      <c r="I620" s="78"/>
      <c r="J620" s="78"/>
    </row>
    <row r="621" spans="9:10">
      <c r="I621" s="78"/>
      <c r="J621" s="78"/>
    </row>
    <row r="622" spans="9:10">
      <c r="I622" s="78"/>
      <c r="J622" s="78"/>
    </row>
    <row r="623" spans="9:10">
      <c r="I623" s="78"/>
      <c r="J623" s="78"/>
    </row>
    <row r="624" spans="9:10">
      <c r="I624" s="78"/>
      <c r="J624" s="78"/>
    </row>
    <row r="625" spans="9:10">
      <c r="I625" s="78"/>
      <c r="J625" s="78"/>
    </row>
    <row r="626" spans="9:10">
      <c r="I626" s="78"/>
      <c r="J626" s="78"/>
    </row>
    <row r="627" spans="9:10">
      <c r="I627" s="78"/>
      <c r="J627" s="78"/>
    </row>
    <row r="628" spans="9:10">
      <c r="I628" s="78"/>
      <c r="J628" s="78"/>
    </row>
    <row r="629" spans="9:10">
      <c r="I629" s="78"/>
      <c r="J629" s="78"/>
    </row>
    <row r="630" spans="9:10">
      <c r="I630" s="78"/>
      <c r="J630" s="78"/>
    </row>
    <row r="631" spans="9:10">
      <c r="I631" s="78"/>
      <c r="J631" s="78"/>
    </row>
    <row r="632" spans="9:10">
      <c r="I632" s="78"/>
      <c r="J632" s="78"/>
    </row>
    <row r="633" spans="9:10">
      <c r="I633" s="78"/>
      <c r="J633" s="78"/>
    </row>
    <row r="634" spans="9:10">
      <c r="I634" s="78"/>
      <c r="J634" s="78"/>
    </row>
    <row r="635" spans="9:10">
      <c r="I635" s="78"/>
      <c r="J635" s="78"/>
    </row>
    <row r="636" spans="9:10">
      <c r="I636" s="78"/>
      <c r="J636" s="78"/>
    </row>
    <row r="637" spans="9:10">
      <c r="I637" s="78"/>
      <c r="J637" s="78"/>
    </row>
    <row r="638" spans="9:10">
      <c r="I638" s="78"/>
      <c r="J638" s="78"/>
    </row>
    <row r="639" spans="9:10">
      <c r="I639" s="78"/>
      <c r="J639" s="78"/>
    </row>
    <row r="640" spans="9:10">
      <c r="I640" s="78"/>
      <c r="J640" s="78"/>
    </row>
    <row r="641" spans="9:10">
      <c r="I641" s="78"/>
      <c r="J641" s="78"/>
    </row>
    <row r="642" spans="9:10">
      <c r="I642" s="78"/>
      <c r="J642" s="78"/>
    </row>
    <row r="643" spans="9:10">
      <c r="I643" s="78"/>
      <c r="J643" s="78"/>
    </row>
    <row r="644" spans="9:10">
      <c r="I644" s="78"/>
      <c r="J644" s="78"/>
    </row>
    <row r="645" spans="9:10">
      <c r="I645" s="78"/>
      <c r="J645" s="78"/>
    </row>
    <row r="646" spans="9:10">
      <c r="I646" s="78"/>
      <c r="J646" s="78"/>
    </row>
    <row r="647" spans="9:10">
      <c r="I647" s="78"/>
      <c r="J647" s="78"/>
    </row>
    <row r="648" spans="9:10">
      <c r="I648" s="78"/>
      <c r="J648" s="78"/>
    </row>
    <row r="649" spans="9:10">
      <c r="I649" s="78"/>
      <c r="J649" s="78"/>
    </row>
    <row r="650" spans="9:10">
      <c r="I650" s="78"/>
      <c r="J650" s="78"/>
    </row>
    <row r="651" spans="9:10">
      <c r="I651" s="78"/>
      <c r="J651" s="78"/>
    </row>
    <row r="652" spans="9:10">
      <c r="I652" s="78"/>
      <c r="J652" s="78"/>
    </row>
    <row r="653" spans="9:10">
      <c r="I653" s="78"/>
      <c r="J653" s="78"/>
    </row>
    <row r="654" spans="9:10">
      <c r="I654" s="78"/>
      <c r="J654" s="78"/>
    </row>
    <row r="655" spans="9:10">
      <c r="I655" s="78"/>
      <c r="J655" s="78"/>
    </row>
    <row r="656" spans="9:10">
      <c r="I656" s="78"/>
      <c r="J656" s="78"/>
    </row>
    <row r="657" spans="9:10">
      <c r="I657" s="78"/>
      <c r="J657" s="78"/>
    </row>
    <row r="658" spans="9:10">
      <c r="I658" s="78"/>
      <c r="J658" s="78"/>
    </row>
    <row r="659" spans="9:10">
      <c r="I659" s="78"/>
      <c r="J659" s="78"/>
    </row>
    <row r="660" spans="9:10">
      <c r="I660" s="78"/>
      <c r="J660" s="78"/>
    </row>
    <row r="661" spans="9:10">
      <c r="I661" s="78"/>
      <c r="J661" s="78"/>
    </row>
    <row r="662" spans="9:10">
      <c r="I662" s="78"/>
      <c r="J662" s="78"/>
    </row>
    <row r="663" spans="9:10">
      <c r="I663" s="78"/>
      <c r="J663" s="78"/>
    </row>
    <row r="664" spans="9:10">
      <c r="I664" s="78"/>
      <c r="J664" s="78"/>
    </row>
    <row r="665" spans="9:10">
      <c r="I665" s="78"/>
      <c r="J665" s="78"/>
    </row>
    <row r="666" spans="9:10">
      <c r="I666" s="78"/>
      <c r="J666" s="78"/>
    </row>
    <row r="667" spans="9:10">
      <c r="I667" s="78"/>
      <c r="J667" s="78"/>
    </row>
    <row r="668" spans="9:10">
      <c r="I668" s="78"/>
      <c r="J668" s="78"/>
    </row>
    <row r="669" spans="9:10">
      <c r="I669" s="78"/>
      <c r="J669" s="78"/>
    </row>
    <row r="670" spans="9:10">
      <c r="I670" s="78"/>
      <c r="J670" s="78"/>
    </row>
    <row r="671" spans="9:10">
      <c r="I671" s="78"/>
      <c r="J671" s="78"/>
    </row>
    <row r="672" spans="9:10">
      <c r="I672" s="78"/>
      <c r="J672" s="78"/>
    </row>
    <row r="673" spans="9:10">
      <c r="I673" s="78"/>
      <c r="J673" s="78"/>
    </row>
    <row r="674" spans="9:10">
      <c r="I674" s="78"/>
      <c r="J674" s="78"/>
    </row>
    <row r="675" spans="9:10">
      <c r="I675" s="78"/>
      <c r="J675" s="78"/>
    </row>
    <row r="676" spans="9:10">
      <c r="I676" s="78"/>
      <c r="J676" s="78"/>
    </row>
    <row r="677" spans="9:10">
      <c r="I677" s="78"/>
      <c r="J677" s="78"/>
    </row>
    <row r="678" spans="9:10">
      <c r="I678" s="78"/>
      <c r="J678" s="78"/>
    </row>
    <row r="679" spans="9:10">
      <c r="I679" s="78"/>
      <c r="J679" s="78"/>
    </row>
    <row r="680" spans="9:10">
      <c r="I680" s="78"/>
      <c r="J680" s="78"/>
    </row>
    <row r="681" spans="9:10">
      <c r="I681" s="78"/>
      <c r="J681" s="78"/>
    </row>
    <row r="682" spans="9:10">
      <c r="I682" s="78"/>
      <c r="J682" s="78"/>
    </row>
    <row r="683" spans="9:10">
      <c r="I683" s="78"/>
      <c r="J683" s="78"/>
    </row>
    <row r="684" spans="9:10">
      <c r="I684" s="78"/>
      <c r="J684" s="78"/>
    </row>
    <row r="685" spans="9:10">
      <c r="I685" s="78"/>
      <c r="J685" s="78"/>
    </row>
    <row r="686" spans="9:10">
      <c r="I686" s="78"/>
      <c r="J686" s="78"/>
    </row>
    <row r="687" spans="9:10">
      <c r="I687" s="78"/>
      <c r="J687" s="78"/>
    </row>
    <row r="688" spans="9:10">
      <c r="I688" s="78"/>
      <c r="J688" s="78"/>
    </row>
    <row r="689" spans="9:10">
      <c r="I689" s="78"/>
      <c r="J689" s="78"/>
    </row>
    <row r="690" spans="9:10">
      <c r="I690" s="78"/>
      <c r="J690" s="78"/>
    </row>
    <row r="691" spans="9:10">
      <c r="I691" s="78"/>
      <c r="J691" s="78"/>
    </row>
    <row r="692" spans="9:10">
      <c r="I692" s="78"/>
      <c r="J692" s="78"/>
    </row>
    <row r="693" spans="9:10">
      <c r="I693" s="78"/>
      <c r="J693" s="78"/>
    </row>
    <row r="694" spans="9:10">
      <c r="I694" s="78"/>
      <c r="J694" s="78"/>
    </row>
    <row r="695" spans="9:10">
      <c r="I695" s="78"/>
      <c r="J695" s="78"/>
    </row>
    <row r="696" spans="9:10">
      <c r="I696" s="78"/>
      <c r="J696" s="78"/>
    </row>
    <row r="697" spans="9:10">
      <c r="I697" s="78"/>
      <c r="J697" s="78"/>
    </row>
    <row r="698" spans="9:10">
      <c r="I698" s="78"/>
      <c r="J698" s="78"/>
    </row>
    <row r="699" spans="9:10">
      <c r="I699" s="78"/>
      <c r="J699" s="78"/>
    </row>
    <row r="700" spans="9:10">
      <c r="I700" s="78"/>
      <c r="J700" s="78"/>
    </row>
    <row r="701" spans="9:10">
      <c r="I701" s="78"/>
      <c r="J701" s="78"/>
    </row>
    <row r="702" spans="9:10">
      <c r="I702" s="78"/>
      <c r="J702" s="78"/>
    </row>
    <row r="703" spans="9:10">
      <c r="I703" s="78"/>
      <c r="J703" s="78"/>
    </row>
    <row r="704" spans="9:10">
      <c r="I704" s="78"/>
      <c r="J704" s="78"/>
    </row>
    <row r="705" spans="9:10">
      <c r="I705" s="78"/>
      <c r="J705" s="78"/>
    </row>
    <row r="706" spans="9:10">
      <c r="I706" s="78"/>
      <c r="J706" s="78"/>
    </row>
    <row r="707" spans="9:10">
      <c r="I707" s="78"/>
      <c r="J707" s="78"/>
    </row>
    <row r="708" spans="9:10">
      <c r="I708" s="78"/>
      <c r="J708" s="78"/>
    </row>
    <row r="709" spans="9:10">
      <c r="I709" s="78"/>
      <c r="J709" s="78"/>
    </row>
    <row r="710" spans="9:10">
      <c r="I710" s="78"/>
      <c r="J710" s="78"/>
    </row>
    <row r="711" spans="9:10">
      <c r="I711" s="78"/>
      <c r="J711" s="78"/>
    </row>
    <row r="712" spans="9:10">
      <c r="I712" s="78"/>
      <c r="J712" s="78"/>
    </row>
    <row r="713" spans="9:10">
      <c r="I713" s="78"/>
      <c r="J713" s="78"/>
    </row>
    <row r="714" spans="9:10">
      <c r="I714" s="78"/>
      <c r="J714" s="78"/>
    </row>
    <row r="715" spans="9:10">
      <c r="I715" s="78"/>
      <c r="J715" s="78"/>
    </row>
    <row r="716" spans="9:10">
      <c r="I716" s="78"/>
      <c r="J716" s="78"/>
    </row>
    <row r="717" spans="9:10">
      <c r="I717" s="78"/>
      <c r="J717" s="78"/>
    </row>
    <row r="718" spans="9:10">
      <c r="I718" s="78"/>
      <c r="J718" s="78"/>
    </row>
    <row r="719" spans="9:10">
      <c r="I719" s="78"/>
      <c r="J719" s="78"/>
    </row>
    <row r="720" spans="9:10">
      <c r="I720" s="78"/>
      <c r="J720" s="78"/>
    </row>
    <row r="721" spans="9:10">
      <c r="I721" s="78"/>
      <c r="J721" s="78"/>
    </row>
    <row r="722" spans="9:10">
      <c r="I722" s="78"/>
      <c r="J722" s="78"/>
    </row>
    <row r="723" spans="9:10">
      <c r="I723" s="78"/>
      <c r="J723" s="78"/>
    </row>
    <row r="724" spans="9:10">
      <c r="I724" s="78"/>
      <c r="J724" s="78"/>
    </row>
    <row r="725" spans="9:10">
      <c r="I725" s="78"/>
      <c r="J725" s="78"/>
    </row>
    <row r="726" spans="9:10">
      <c r="I726" s="78"/>
      <c r="J726" s="78"/>
    </row>
    <row r="727" spans="9:10">
      <c r="I727" s="78"/>
      <c r="J727" s="78"/>
    </row>
    <row r="728" spans="9:10">
      <c r="I728" s="78"/>
      <c r="J728" s="78"/>
    </row>
    <row r="729" spans="9:10">
      <c r="I729" s="78"/>
      <c r="J729" s="78"/>
    </row>
    <row r="730" spans="9:10">
      <c r="I730" s="78"/>
      <c r="J730" s="78"/>
    </row>
    <row r="731" spans="9:10">
      <c r="I731" s="78"/>
      <c r="J731" s="78"/>
    </row>
    <row r="732" spans="9:10">
      <c r="I732" s="78"/>
      <c r="J732" s="78"/>
    </row>
    <row r="733" spans="9:10">
      <c r="I733" s="78"/>
      <c r="J733" s="78"/>
    </row>
    <row r="734" spans="9:10">
      <c r="I734" s="78"/>
      <c r="J734" s="78"/>
    </row>
    <row r="735" spans="9:10">
      <c r="I735" s="78"/>
      <c r="J735" s="78"/>
    </row>
    <row r="736" spans="9:10">
      <c r="I736" s="78"/>
      <c r="J736" s="78"/>
    </row>
    <row r="737" spans="9:10">
      <c r="I737" s="78"/>
      <c r="J737" s="78"/>
    </row>
    <row r="738" spans="9:10">
      <c r="I738" s="78"/>
      <c r="J738" s="78"/>
    </row>
    <row r="739" spans="9:10">
      <c r="I739" s="78"/>
      <c r="J739" s="78"/>
    </row>
    <row r="740" spans="9:10">
      <c r="I740" s="78"/>
      <c r="J740" s="78"/>
    </row>
    <row r="741" spans="9:10">
      <c r="I741" s="78"/>
      <c r="J741" s="78"/>
    </row>
    <row r="742" spans="9:10">
      <c r="I742" s="78"/>
      <c r="J742" s="78"/>
    </row>
    <row r="743" spans="9:10">
      <c r="I743" s="78"/>
      <c r="J743" s="78"/>
    </row>
    <row r="744" spans="9:10">
      <c r="I744" s="78"/>
      <c r="J744" s="78"/>
    </row>
    <row r="745" spans="9:10">
      <c r="I745" s="78"/>
      <c r="J745" s="78"/>
    </row>
    <row r="746" spans="9:10">
      <c r="I746" s="78"/>
      <c r="J746" s="78"/>
    </row>
    <row r="747" spans="9:10">
      <c r="I747" s="78"/>
      <c r="J747" s="78"/>
    </row>
    <row r="748" spans="9:10">
      <c r="I748" s="78"/>
      <c r="J748" s="78"/>
    </row>
    <row r="749" spans="9:10">
      <c r="I749" s="78"/>
      <c r="J749" s="78"/>
    </row>
    <row r="750" spans="9:10">
      <c r="I750" s="78"/>
      <c r="J750" s="78"/>
    </row>
    <row r="751" spans="9:10">
      <c r="I751" s="78"/>
      <c r="J751" s="78"/>
    </row>
    <row r="752" spans="9:10">
      <c r="I752" s="78"/>
      <c r="J752" s="78"/>
    </row>
    <row r="753" spans="9:10">
      <c r="I753" s="78"/>
      <c r="J753" s="78"/>
    </row>
    <row r="754" spans="9:10">
      <c r="I754" s="78"/>
      <c r="J754" s="78"/>
    </row>
    <row r="755" spans="9:10">
      <c r="I755" s="78"/>
      <c r="J755" s="78"/>
    </row>
    <row r="756" spans="9:10">
      <c r="I756" s="78"/>
      <c r="J756" s="78"/>
    </row>
    <row r="757" spans="9:10">
      <c r="I757" s="78"/>
      <c r="J757" s="78"/>
    </row>
    <row r="758" spans="9:10">
      <c r="I758" s="78"/>
      <c r="J758" s="78"/>
    </row>
    <row r="759" spans="9:10">
      <c r="I759" s="78"/>
      <c r="J759" s="78"/>
    </row>
    <row r="760" spans="9:10">
      <c r="I760" s="78"/>
      <c r="J760" s="78"/>
    </row>
    <row r="761" spans="9:10">
      <c r="I761" s="78"/>
      <c r="J761" s="78"/>
    </row>
    <row r="762" spans="9:10">
      <c r="I762" s="78"/>
      <c r="J762" s="78"/>
    </row>
    <row r="763" spans="9:10">
      <c r="I763" s="78"/>
      <c r="J763" s="78"/>
    </row>
    <row r="764" spans="9:10">
      <c r="I764" s="78"/>
      <c r="J764" s="78"/>
    </row>
    <row r="765" spans="9:10">
      <c r="I765" s="78"/>
      <c r="J765" s="78"/>
    </row>
    <row r="766" spans="9:10">
      <c r="I766" s="78"/>
      <c r="J766" s="78"/>
    </row>
    <row r="767" spans="9:10">
      <c r="I767" s="78"/>
      <c r="J767" s="78"/>
    </row>
    <row r="768" spans="9:10">
      <c r="I768" s="78"/>
      <c r="J768" s="78"/>
    </row>
    <row r="769" spans="9:10">
      <c r="I769" s="78"/>
      <c r="J769" s="78"/>
    </row>
    <row r="770" spans="9:10">
      <c r="I770" s="78"/>
      <c r="J770" s="78"/>
    </row>
    <row r="771" spans="9:10">
      <c r="I771" s="78"/>
      <c r="J771" s="78"/>
    </row>
    <row r="772" spans="9:10">
      <c r="I772" s="78"/>
      <c r="J772" s="78"/>
    </row>
    <row r="773" spans="9:10">
      <c r="I773" s="78"/>
      <c r="J773" s="78"/>
    </row>
    <row r="774" spans="9:10">
      <c r="I774" s="78"/>
      <c r="J774" s="78"/>
    </row>
    <row r="775" spans="9:10">
      <c r="I775" s="78"/>
      <c r="J775" s="78"/>
    </row>
    <row r="776" spans="9:10">
      <c r="I776" s="78"/>
      <c r="J776" s="78"/>
    </row>
    <row r="777" spans="9:10">
      <c r="I777" s="78"/>
      <c r="J777" s="78"/>
    </row>
    <row r="778" spans="9:10">
      <c r="I778" s="78"/>
      <c r="J778" s="78"/>
    </row>
    <row r="779" spans="9:10">
      <c r="I779" s="78"/>
      <c r="J779" s="78"/>
    </row>
    <row r="780" spans="9:10">
      <c r="I780" s="78"/>
      <c r="J780" s="78"/>
    </row>
    <row r="781" spans="9:10">
      <c r="I781" s="78"/>
      <c r="J781" s="78"/>
    </row>
    <row r="782" spans="9:10">
      <c r="I782" s="78"/>
      <c r="J782" s="78"/>
    </row>
    <row r="783" spans="9:10">
      <c r="I783" s="78"/>
      <c r="J783" s="78"/>
    </row>
    <row r="784" spans="9:10">
      <c r="I784" s="78"/>
      <c r="J784" s="78"/>
    </row>
    <row r="785" spans="9:10">
      <c r="I785" s="78"/>
      <c r="J785" s="78"/>
    </row>
    <row r="786" spans="9:10">
      <c r="I786" s="78"/>
      <c r="J786" s="78"/>
    </row>
    <row r="787" spans="9:10">
      <c r="I787" s="78"/>
      <c r="J787" s="78"/>
    </row>
    <row r="788" spans="9:10">
      <c r="I788" s="78"/>
      <c r="J788" s="78"/>
    </row>
    <row r="789" spans="9:10">
      <c r="I789" s="78"/>
      <c r="J789" s="78"/>
    </row>
    <row r="790" spans="9:10">
      <c r="I790" s="78"/>
      <c r="J790" s="78"/>
    </row>
    <row r="791" spans="9:10">
      <c r="I791" s="78"/>
      <c r="J791" s="78"/>
    </row>
    <row r="792" spans="9:10">
      <c r="I792" s="78"/>
      <c r="J792" s="78"/>
    </row>
    <row r="793" spans="9:10">
      <c r="I793" s="78"/>
      <c r="J793" s="78"/>
    </row>
    <row r="794" spans="9:10">
      <c r="I794" s="78"/>
      <c r="J794" s="78"/>
    </row>
    <row r="795" spans="9:10">
      <c r="I795" s="78"/>
      <c r="J795" s="78"/>
    </row>
    <row r="796" spans="9:10">
      <c r="I796" s="78"/>
      <c r="J796" s="78"/>
    </row>
    <row r="797" spans="9:10">
      <c r="I797" s="78"/>
      <c r="J797" s="78"/>
    </row>
    <row r="798" spans="9:10">
      <c r="I798" s="78"/>
      <c r="J798" s="78"/>
    </row>
    <row r="799" spans="9:10">
      <c r="I799" s="78"/>
      <c r="J799" s="78"/>
    </row>
    <row r="800" spans="9:10">
      <c r="I800" s="78"/>
      <c r="J800" s="78"/>
    </row>
    <row r="801" spans="9:10">
      <c r="I801" s="78"/>
      <c r="J801" s="78"/>
    </row>
    <row r="802" spans="9:10">
      <c r="I802" s="78"/>
      <c r="J802" s="78"/>
    </row>
    <row r="803" spans="9:10">
      <c r="I803" s="78"/>
      <c r="J803" s="78"/>
    </row>
    <row r="804" spans="9:10">
      <c r="I804" s="78"/>
      <c r="J804" s="78"/>
    </row>
    <row r="805" spans="9:10">
      <c r="I805" s="78"/>
      <c r="J805" s="78"/>
    </row>
    <row r="806" spans="9:10">
      <c r="I806" s="78"/>
      <c r="J806" s="78"/>
    </row>
    <row r="807" spans="9:10">
      <c r="I807" s="78"/>
      <c r="J807" s="78"/>
    </row>
    <row r="808" spans="9:10">
      <c r="I808" s="78"/>
      <c r="J808" s="78"/>
    </row>
    <row r="809" spans="9:10">
      <c r="I809" s="78"/>
      <c r="J809" s="78"/>
    </row>
    <row r="810" spans="9:10">
      <c r="I810" s="78"/>
      <c r="J810" s="78"/>
    </row>
    <row r="811" spans="9:10">
      <c r="I811" s="78"/>
      <c r="J811" s="78"/>
    </row>
    <row r="812" spans="9:10">
      <c r="I812" s="78"/>
      <c r="J812" s="78"/>
    </row>
    <row r="813" spans="9:10">
      <c r="I813" s="78"/>
      <c r="J813" s="78"/>
    </row>
    <row r="814" spans="9:10">
      <c r="I814" s="78"/>
      <c r="J814" s="78"/>
    </row>
    <row r="815" spans="9:10">
      <c r="I815" s="78"/>
      <c r="J815" s="78"/>
    </row>
    <row r="816" spans="9:10">
      <c r="I816" s="78"/>
      <c r="J816" s="78"/>
    </row>
    <row r="817" spans="9:10">
      <c r="I817" s="78"/>
      <c r="J817" s="78"/>
    </row>
    <row r="818" spans="9:10">
      <c r="I818" s="78"/>
      <c r="J818" s="78"/>
    </row>
    <row r="819" spans="9:10">
      <c r="I819" s="78"/>
      <c r="J819" s="78"/>
    </row>
    <row r="820" spans="9:10">
      <c r="I820" s="78"/>
      <c r="J820" s="78"/>
    </row>
    <row r="821" spans="9:10">
      <c r="I821" s="78"/>
      <c r="J821" s="78"/>
    </row>
    <row r="822" spans="9:10">
      <c r="I822" s="78"/>
      <c r="J822" s="78"/>
    </row>
    <row r="823" spans="9:10">
      <c r="I823" s="78"/>
      <c r="J823" s="78"/>
    </row>
    <row r="824" spans="9:10">
      <c r="I824" s="78"/>
      <c r="J824" s="78"/>
    </row>
    <row r="825" spans="9:10">
      <c r="I825" s="78"/>
      <c r="J825" s="78"/>
    </row>
    <row r="826" spans="9:10">
      <c r="I826" s="78"/>
      <c r="J826" s="78"/>
    </row>
    <row r="827" spans="9:10">
      <c r="I827" s="78"/>
      <c r="J827" s="78"/>
    </row>
    <row r="828" spans="9:10">
      <c r="I828" s="78"/>
      <c r="J828" s="78"/>
    </row>
    <row r="829" spans="9:10">
      <c r="I829" s="78"/>
      <c r="J829" s="78"/>
    </row>
    <row r="830" spans="9:10">
      <c r="I830" s="78"/>
      <c r="J830" s="78"/>
    </row>
    <row r="831" spans="9:10">
      <c r="I831" s="78"/>
      <c r="J831" s="78"/>
    </row>
    <row r="832" spans="9:10">
      <c r="I832" s="78"/>
      <c r="J832" s="78"/>
    </row>
    <row r="833" spans="9:10">
      <c r="I833" s="78"/>
      <c r="J833" s="78"/>
    </row>
    <row r="834" spans="9:10">
      <c r="I834" s="78"/>
      <c r="J834" s="78"/>
    </row>
    <row r="835" spans="9:10">
      <c r="I835" s="78"/>
      <c r="J835" s="78"/>
    </row>
    <row r="836" spans="9:10">
      <c r="I836" s="78"/>
      <c r="J836" s="78"/>
    </row>
    <row r="837" spans="9:10">
      <c r="I837" s="78"/>
      <c r="J837" s="78"/>
    </row>
    <row r="838" spans="9:10">
      <c r="I838" s="78"/>
      <c r="J838" s="78"/>
    </row>
    <row r="839" spans="9:10">
      <c r="I839" s="78"/>
      <c r="J839" s="78"/>
    </row>
    <row r="840" spans="9:10">
      <c r="I840" s="78"/>
      <c r="J840" s="78"/>
    </row>
    <row r="841" spans="9:10">
      <c r="I841" s="78"/>
      <c r="J841" s="78"/>
    </row>
    <row r="842" spans="9:10">
      <c r="I842" s="78"/>
      <c r="J842" s="78"/>
    </row>
    <row r="843" spans="9:10">
      <c r="I843" s="78"/>
      <c r="J843" s="78"/>
    </row>
    <row r="844" spans="9:10">
      <c r="I844" s="78"/>
      <c r="J844" s="78"/>
    </row>
    <row r="845" spans="9:10">
      <c r="I845" s="78"/>
      <c r="J845" s="78"/>
    </row>
    <row r="846" spans="9:10">
      <c r="I846" s="78"/>
      <c r="J846" s="78"/>
    </row>
    <row r="847" spans="9:10">
      <c r="I847" s="78"/>
      <c r="J847" s="78"/>
    </row>
    <row r="848" spans="9:10">
      <c r="I848" s="78"/>
      <c r="J848" s="78"/>
    </row>
    <row r="849" spans="9:10">
      <c r="I849" s="78"/>
      <c r="J849" s="78"/>
    </row>
    <row r="850" spans="9:10">
      <c r="I850" s="78"/>
      <c r="J850" s="78"/>
    </row>
    <row r="851" spans="9:10">
      <c r="I851" s="78"/>
      <c r="J851" s="78"/>
    </row>
    <row r="852" spans="9:10">
      <c r="I852" s="78"/>
      <c r="J852" s="78"/>
    </row>
    <row r="853" spans="9:10">
      <c r="I853" s="78"/>
      <c r="J853" s="78"/>
    </row>
    <row r="854" spans="9:10">
      <c r="I854" s="78"/>
      <c r="J854" s="78"/>
    </row>
    <row r="855" spans="9:10">
      <c r="I855" s="78"/>
      <c r="J855" s="78"/>
    </row>
    <row r="856" spans="9:10">
      <c r="I856" s="78"/>
      <c r="J856" s="78"/>
    </row>
    <row r="857" spans="9:10">
      <c r="I857" s="78"/>
      <c r="J857" s="78"/>
    </row>
    <row r="858" spans="9:10">
      <c r="I858" s="78"/>
      <c r="J858" s="78"/>
    </row>
    <row r="859" spans="9:10">
      <c r="I859" s="78"/>
      <c r="J859" s="78"/>
    </row>
    <row r="860" spans="9:10">
      <c r="I860" s="78"/>
      <c r="J860" s="78"/>
    </row>
    <row r="861" spans="9:10">
      <c r="I861" s="78"/>
      <c r="J861" s="78"/>
    </row>
    <row r="862" spans="9:10">
      <c r="I862" s="78"/>
      <c r="J862" s="78"/>
    </row>
    <row r="863" spans="9:10">
      <c r="I863" s="78"/>
      <c r="J863" s="78"/>
    </row>
    <row r="864" spans="9:10">
      <c r="I864" s="78"/>
      <c r="J864" s="78"/>
    </row>
    <row r="865" spans="9:10">
      <c r="I865" s="78"/>
      <c r="J865" s="78"/>
    </row>
    <row r="866" spans="9:10">
      <c r="I866" s="78"/>
      <c r="J866" s="78"/>
    </row>
    <row r="867" spans="9:10">
      <c r="I867" s="78"/>
      <c r="J867" s="78"/>
    </row>
    <row r="868" spans="9:10">
      <c r="I868" s="78"/>
      <c r="J868" s="78"/>
    </row>
    <row r="869" spans="9:10">
      <c r="I869" s="78"/>
      <c r="J869" s="78"/>
    </row>
    <row r="870" spans="9:10">
      <c r="I870" s="78"/>
      <c r="J870" s="78"/>
    </row>
    <row r="871" spans="9:10">
      <c r="I871" s="78"/>
      <c r="J871" s="78"/>
    </row>
    <row r="872" spans="9:10">
      <c r="I872" s="78"/>
      <c r="J872" s="78"/>
    </row>
    <row r="873" spans="9:10">
      <c r="I873" s="78"/>
      <c r="J873" s="78"/>
    </row>
    <row r="874" spans="9:10">
      <c r="I874" s="78"/>
      <c r="J874" s="78"/>
    </row>
    <row r="875" spans="9:10">
      <c r="I875" s="78"/>
      <c r="J875" s="78"/>
    </row>
    <row r="876" spans="9:10">
      <c r="I876" s="78"/>
      <c r="J876" s="78"/>
    </row>
    <row r="877" spans="9:10">
      <c r="I877" s="78"/>
      <c r="J877" s="78"/>
    </row>
    <row r="878" spans="9:10">
      <c r="I878" s="78"/>
      <c r="J878" s="78"/>
    </row>
    <row r="879" spans="9:10">
      <c r="I879" s="78"/>
      <c r="J879" s="78"/>
    </row>
    <row r="880" spans="9:10">
      <c r="I880" s="78"/>
      <c r="J880" s="78"/>
    </row>
    <row r="881" spans="9:10">
      <c r="I881" s="78"/>
      <c r="J881" s="78"/>
    </row>
    <row r="882" spans="9:10">
      <c r="I882" s="78"/>
      <c r="J882" s="78"/>
    </row>
    <row r="883" spans="9:10">
      <c r="I883" s="78"/>
      <c r="J883" s="78"/>
    </row>
    <row r="884" spans="9:10">
      <c r="I884" s="78"/>
      <c r="J884" s="78"/>
    </row>
    <row r="885" spans="9:10">
      <c r="I885" s="78"/>
      <c r="J885" s="78"/>
    </row>
    <row r="886" spans="9:10">
      <c r="I886" s="78"/>
      <c r="J886" s="78"/>
    </row>
    <row r="887" spans="9:10">
      <c r="I887" s="78"/>
      <c r="J887" s="78"/>
    </row>
    <row r="888" spans="9:10">
      <c r="I888" s="78"/>
      <c r="J888" s="78"/>
    </row>
    <row r="889" spans="9:10">
      <c r="I889" s="78"/>
      <c r="J889" s="78"/>
    </row>
    <row r="890" spans="9:10">
      <c r="I890" s="78"/>
      <c r="J890" s="78"/>
    </row>
    <row r="891" spans="9:10">
      <c r="I891" s="78"/>
      <c r="J891" s="78"/>
    </row>
    <row r="892" spans="9:10">
      <c r="I892" s="78"/>
      <c r="J892" s="78"/>
    </row>
    <row r="893" spans="9:10">
      <c r="I893" s="78"/>
      <c r="J893" s="78"/>
    </row>
    <row r="894" spans="9:10">
      <c r="I894" s="78"/>
      <c r="J894" s="78"/>
    </row>
    <row r="895" spans="9:10">
      <c r="I895" s="78"/>
      <c r="J895" s="78"/>
    </row>
    <row r="896" spans="9:10">
      <c r="I896" s="78"/>
      <c r="J896" s="78"/>
    </row>
    <row r="897" spans="9:10">
      <c r="I897" s="78"/>
      <c r="J897" s="78"/>
    </row>
    <row r="898" spans="9:10">
      <c r="I898" s="78"/>
      <c r="J898" s="78"/>
    </row>
    <row r="899" spans="9:10">
      <c r="I899" s="78"/>
      <c r="J899" s="78"/>
    </row>
    <row r="900" spans="9:10">
      <c r="I900" s="78"/>
      <c r="J900" s="78"/>
    </row>
    <row r="901" spans="9:10">
      <c r="I901" s="78"/>
      <c r="J901" s="78"/>
    </row>
    <row r="902" spans="9:10">
      <c r="I902" s="78"/>
      <c r="J902" s="78"/>
    </row>
    <row r="903" spans="9:10">
      <c r="I903" s="78"/>
      <c r="J903" s="78"/>
    </row>
    <row r="904" spans="9:10">
      <c r="I904" s="78"/>
      <c r="J904" s="78"/>
    </row>
    <row r="905" spans="9:10">
      <c r="I905" s="78"/>
      <c r="J905" s="78"/>
    </row>
    <row r="906" spans="9:10">
      <c r="I906" s="78"/>
      <c r="J906" s="78"/>
    </row>
    <row r="907" spans="9:10">
      <c r="I907" s="78"/>
      <c r="J907" s="78"/>
    </row>
    <row r="908" spans="9:10">
      <c r="I908" s="78"/>
      <c r="J908" s="78"/>
    </row>
    <row r="909" spans="9:10">
      <c r="I909" s="78"/>
      <c r="J909" s="78"/>
    </row>
    <row r="910" spans="9:10">
      <c r="I910" s="78"/>
      <c r="J910" s="78"/>
    </row>
    <row r="911" spans="9:10">
      <c r="I911" s="78"/>
      <c r="J911" s="78"/>
    </row>
    <row r="912" spans="9:10">
      <c r="I912" s="78"/>
      <c r="J912" s="78"/>
    </row>
    <row r="913" spans="9:10">
      <c r="I913" s="78"/>
      <c r="J913" s="78"/>
    </row>
    <row r="914" spans="9:10">
      <c r="I914" s="78"/>
      <c r="J914" s="78"/>
    </row>
    <row r="915" spans="9:10">
      <c r="I915" s="78"/>
      <c r="J915" s="78"/>
    </row>
    <row r="916" spans="9:10">
      <c r="I916" s="78"/>
      <c r="J916" s="78"/>
    </row>
    <row r="917" spans="9:10">
      <c r="I917" s="78"/>
      <c r="J917" s="78"/>
    </row>
    <row r="918" spans="9:10">
      <c r="I918" s="78"/>
      <c r="J918" s="78"/>
    </row>
    <row r="919" spans="9:10">
      <c r="I919" s="78"/>
      <c r="J919" s="78"/>
    </row>
    <row r="920" spans="9:10">
      <c r="I920" s="78"/>
      <c r="J920" s="78"/>
    </row>
    <row r="921" spans="9:10">
      <c r="I921" s="78"/>
      <c r="J921" s="78"/>
    </row>
    <row r="922" spans="9:10">
      <c r="I922" s="78"/>
      <c r="J922" s="78"/>
    </row>
    <row r="923" spans="9:10">
      <c r="I923" s="78"/>
      <c r="J923" s="78"/>
    </row>
    <row r="924" spans="9:10">
      <c r="I924" s="78"/>
      <c r="J924" s="78"/>
    </row>
    <row r="925" spans="9:10">
      <c r="I925" s="78"/>
      <c r="J925" s="78"/>
    </row>
    <row r="926" spans="9:10">
      <c r="I926" s="78"/>
      <c r="J926" s="78"/>
    </row>
    <row r="927" spans="9:10">
      <c r="I927" s="78"/>
      <c r="J927" s="78"/>
    </row>
    <row r="928" spans="9:10">
      <c r="I928" s="78"/>
      <c r="J928" s="78"/>
    </row>
    <row r="929" spans="9:10">
      <c r="I929" s="78"/>
      <c r="J929" s="78"/>
    </row>
    <row r="930" spans="9:10">
      <c r="I930" s="78"/>
      <c r="J930" s="78"/>
    </row>
    <row r="931" spans="9:10">
      <c r="I931" s="78"/>
      <c r="J931" s="78"/>
    </row>
    <row r="932" spans="9:10">
      <c r="I932" s="78"/>
      <c r="J932" s="78"/>
    </row>
    <row r="933" spans="9:10">
      <c r="I933" s="78"/>
      <c r="J933" s="78"/>
    </row>
    <row r="934" spans="9:10">
      <c r="I934" s="78"/>
      <c r="J934" s="78"/>
    </row>
    <row r="935" spans="9:10">
      <c r="I935" s="78"/>
      <c r="J935" s="78"/>
    </row>
    <row r="936" spans="9:10">
      <c r="I936" s="78"/>
      <c r="J936" s="78"/>
    </row>
    <row r="937" spans="9:10">
      <c r="I937" s="78"/>
      <c r="J937" s="78"/>
    </row>
    <row r="938" spans="9:10">
      <c r="I938" s="78"/>
      <c r="J938" s="78"/>
    </row>
    <row r="939" spans="9:10">
      <c r="I939" s="78"/>
      <c r="J939" s="78"/>
    </row>
    <row r="940" spans="9:10">
      <c r="I940" s="78"/>
      <c r="J940" s="78"/>
    </row>
    <row r="941" spans="9:10">
      <c r="I941" s="78"/>
      <c r="J941" s="78"/>
    </row>
    <row r="942" spans="9:10">
      <c r="I942" s="78"/>
      <c r="J942" s="78"/>
    </row>
    <row r="943" spans="9:10">
      <c r="I943" s="78"/>
      <c r="J943" s="78"/>
    </row>
    <row r="944" spans="9:10">
      <c r="I944" s="78"/>
      <c r="J944" s="78"/>
    </row>
    <row r="945" spans="9:10">
      <c r="I945" s="78"/>
      <c r="J945" s="78"/>
    </row>
    <row r="946" spans="9:10">
      <c r="I946" s="78"/>
      <c r="J946" s="78"/>
    </row>
    <row r="947" spans="9:10">
      <c r="I947" s="78"/>
      <c r="J947" s="78"/>
    </row>
    <row r="948" spans="9:10">
      <c r="I948" s="78"/>
      <c r="J948" s="78"/>
    </row>
    <row r="949" spans="9:10">
      <c r="I949" s="78"/>
      <c r="J949" s="78"/>
    </row>
    <row r="950" spans="9:10">
      <c r="I950" s="78"/>
      <c r="J950" s="78"/>
    </row>
    <row r="951" spans="9:10">
      <c r="I951" s="78"/>
      <c r="J951" s="78"/>
    </row>
    <row r="952" spans="9:10">
      <c r="I952" s="78"/>
      <c r="J952" s="78"/>
    </row>
    <row r="953" spans="9:10">
      <c r="I953" s="78"/>
      <c r="J953" s="78"/>
    </row>
    <row r="954" spans="9:10">
      <c r="I954" s="78"/>
      <c r="J954" s="78"/>
    </row>
    <row r="955" spans="9:10">
      <c r="I955" s="78"/>
      <c r="J955" s="78"/>
    </row>
    <row r="956" spans="9:10">
      <c r="I956" s="78"/>
      <c r="J956" s="78"/>
    </row>
    <row r="957" spans="9:10">
      <c r="I957" s="78"/>
      <c r="J957" s="78"/>
    </row>
    <row r="958" spans="9:10">
      <c r="I958" s="78"/>
      <c r="J958" s="78"/>
    </row>
    <row r="959" spans="9:10">
      <c r="I959" s="78"/>
      <c r="J959" s="78"/>
    </row>
    <row r="960" spans="9:10">
      <c r="I960" s="78"/>
      <c r="J960" s="78"/>
    </row>
    <row r="961" spans="9:10">
      <c r="I961" s="78"/>
      <c r="J961" s="78"/>
    </row>
    <row r="962" spans="9:10">
      <c r="I962" s="78"/>
      <c r="J962" s="78"/>
    </row>
    <row r="963" spans="9:10">
      <c r="I963" s="78"/>
      <c r="J963" s="78"/>
    </row>
    <row r="964" spans="9:10">
      <c r="I964" s="78"/>
      <c r="J964" s="78"/>
    </row>
    <row r="965" spans="9:10">
      <c r="I965" s="78"/>
      <c r="J965" s="78"/>
    </row>
    <row r="966" spans="9:10">
      <c r="I966" s="78"/>
      <c r="J966" s="78"/>
    </row>
    <row r="967" spans="9:10">
      <c r="I967" s="78"/>
      <c r="J967" s="78"/>
    </row>
    <row r="968" spans="9:10">
      <c r="I968" s="78"/>
      <c r="J968" s="78"/>
    </row>
    <row r="969" spans="9:10">
      <c r="I969" s="78"/>
      <c r="J969" s="78"/>
    </row>
    <row r="970" spans="9:10">
      <c r="I970" s="78"/>
      <c r="J970" s="78"/>
    </row>
    <row r="971" spans="9:10">
      <c r="I971" s="78"/>
      <c r="J971" s="78"/>
    </row>
    <row r="972" spans="9:10">
      <c r="I972" s="78"/>
      <c r="J972" s="78"/>
    </row>
    <row r="973" spans="9:10">
      <c r="I973" s="78"/>
      <c r="J973" s="78"/>
    </row>
    <row r="974" spans="9:10">
      <c r="I974" s="78"/>
      <c r="J974" s="78"/>
    </row>
    <row r="975" spans="9:10">
      <c r="I975" s="78"/>
      <c r="J975" s="78"/>
    </row>
    <row r="976" spans="9:10">
      <c r="I976" s="78"/>
      <c r="J976" s="78"/>
    </row>
    <row r="977" spans="9:10">
      <c r="I977" s="78"/>
      <c r="J977" s="78"/>
    </row>
    <row r="978" spans="9:10">
      <c r="I978" s="78"/>
      <c r="J978" s="78"/>
    </row>
    <row r="979" spans="9:10">
      <c r="I979" s="78"/>
      <c r="J979" s="78"/>
    </row>
    <row r="980" spans="9:10">
      <c r="I980" s="78"/>
      <c r="J980" s="78"/>
    </row>
    <row r="981" spans="9:10">
      <c r="I981" s="78"/>
      <c r="J981" s="78"/>
    </row>
    <row r="982" spans="9:10">
      <c r="I982" s="78"/>
      <c r="J982" s="78"/>
    </row>
    <row r="983" spans="9:10">
      <c r="I983" s="78"/>
      <c r="J983" s="78"/>
    </row>
    <row r="984" spans="9:10">
      <c r="I984" s="78"/>
      <c r="J984" s="78"/>
    </row>
    <row r="985" spans="9:10">
      <c r="I985" s="78"/>
      <c r="J985" s="78"/>
    </row>
    <row r="986" spans="9:10">
      <c r="I986" s="78"/>
      <c r="J986" s="78"/>
    </row>
    <row r="987" spans="9:10">
      <c r="I987" s="78"/>
      <c r="J987" s="78"/>
    </row>
    <row r="988" spans="9:10">
      <c r="I988" s="78"/>
      <c r="J988" s="78"/>
    </row>
    <row r="989" spans="9:10">
      <c r="I989" s="78"/>
      <c r="J989" s="78"/>
    </row>
    <row r="990" spans="9:10">
      <c r="I990" s="78"/>
      <c r="J990" s="78"/>
    </row>
    <row r="991" spans="9:10">
      <c r="I991" s="78"/>
      <c r="J991" s="78"/>
    </row>
    <row r="992" spans="9:10">
      <c r="I992" s="78"/>
      <c r="J992" s="78"/>
    </row>
    <row r="993" spans="9:10">
      <c r="I993" s="78"/>
      <c r="J993" s="78"/>
    </row>
    <row r="994" spans="9:10">
      <c r="I994" s="78"/>
      <c r="J994" s="78"/>
    </row>
    <row r="995" spans="9:10">
      <c r="I995" s="78"/>
      <c r="J995" s="78"/>
    </row>
    <row r="996" spans="9:10">
      <c r="I996" s="78"/>
      <c r="J996" s="78"/>
    </row>
    <row r="997" spans="9:10">
      <c r="I997" s="78"/>
      <c r="J997" s="78"/>
    </row>
    <row r="998" spans="9:10">
      <c r="I998" s="78"/>
      <c r="J998" s="78"/>
    </row>
    <row r="999" spans="9:10">
      <c r="I999" s="78"/>
      <c r="J999" s="78"/>
    </row>
    <row r="1000" spans="9:10">
      <c r="I1000" s="78"/>
      <c r="J1000" s="78"/>
    </row>
  </sheetData>
  <autoFilter ref="A4:Z36" xr:uid="{00000000-0009-0000-0000-000003000000}"/>
  <mergeCells count="10">
    <mergeCell ref="O3:P3"/>
    <mergeCell ref="Q3:S3"/>
    <mergeCell ref="T3:V3"/>
    <mergeCell ref="A36:F36"/>
    <mergeCell ref="A1:H1"/>
    <mergeCell ref="A2:C2"/>
    <mergeCell ref="A3:C3"/>
    <mergeCell ref="I3:J3"/>
    <mergeCell ref="K3:L3"/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06.07.25</vt:lpstr>
      <vt:lpstr>05.07.25</vt:lpstr>
      <vt:lpstr>04.07.25</vt:lpstr>
      <vt:lpstr>03.07.25</vt:lpstr>
      <vt:lpstr>02.07.25</vt:lpstr>
      <vt:lpstr>01.07.25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Shruthi Ramapuram</dc:creator>
  <cp:keywords/>
  <dc:description/>
  <cp:lastModifiedBy>shruthi Reddy</cp:lastModifiedBy>
  <cp:revision/>
  <dcterms:created xsi:type="dcterms:W3CDTF">2025-07-01T09:10:18Z</dcterms:created>
  <dcterms:modified xsi:type="dcterms:W3CDTF">2025-07-06T10:31:43Z</dcterms:modified>
  <cp:category/>
  <cp:contentStatus/>
</cp:coreProperties>
</file>